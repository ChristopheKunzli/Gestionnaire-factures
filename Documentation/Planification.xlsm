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E0956528-FBD0-4C60-AB9D-0F02A5DD327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31" i="1" l="1"/>
  <c r="F53" i="1"/>
  <c r="F71" i="1"/>
  <c r="D33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75" i="1" l="1"/>
  <c r="H13" i="1"/>
  <c r="H11" i="1"/>
  <c r="H43" i="1"/>
  <c r="H47" i="1"/>
  <c r="H69" i="1"/>
  <c r="H55" i="1"/>
  <c r="H71" i="1"/>
  <c r="H19" i="1"/>
  <c r="H45" i="1"/>
  <c r="H53" i="1"/>
  <c r="H27" i="1"/>
  <c r="H33" i="1"/>
  <c r="H31" i="1"/>
  <c r="H73" i="1"/>
  <c r="H61" i="1"/>
  <c r="H57" i="1"/>
  <c r="H17" i="1"/>
  <c r="H25" i="1"/>
  <c r="H67" i="1"/>
  <c r="H59" i="1"/>
  <c r="H29" i="1"/>
  <c r="H3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37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37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9" i="1" l="1"/>
  <c r="F47" i="1"/>
  <c r="H41" i="1"/>
  <c r="F25" i="1"/>
  <c r="F45" i="1"/>
  <c r="F67" i="1"/>
  <c r="D29" i="1"/>
  <c r="F55" i="1"/>
  <c r="N23" i="1"/>
  <c r="N4" i="1" s="1"/>
  <c r="P23" i="1"/>
  <c r="P4" i="1" s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F37" i="1"/>
  <c r="L37" i="1"/>
  <c r="H23" i="1"/>
  <c r="H37" i="1"/>
  <c r="J51" i="1"/>
  <c r="L9" i="1"/>
  <c r="L51" i="1"/>
  <c r="D23" i="1"/>
  <c r="H9" i="1"/>
  <c r="D37" i="1"/>
  <c r="J9" i="1"/>
  <c r="J37" i="1"/>
  <c r="D4" i="1" l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<sst xmlns="http://schemas.openxmlformats.org/spreadsheetml/2006/main" count="93" uniqueCount="71">
  <si>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</si>
  <si>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</si>
  <si>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</si>
  <si>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</si>
  <si>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</si>
  <si>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</si>
  <si>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</si>
  <si>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</si>
  <si>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</si>
  <si>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</si>
  <si>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</si>
  <si>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</si>
  <si>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</si>
  <si>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</si>
  <si>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</si>
  <si>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</si>
  <si>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</si>
  <si>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</si>
  <si>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46 -</t>
  </si>
  <si>
    <t>16 -</t>
  </si>
  <si>
    <t xml:space="preserve">15 -                                                 </t>
  </si>
  <si>
    <t>1 Analyse</t>
  </si>
  <si>
    <t>4 Tests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</si>
  <si>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</si>
  <si>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</si>
  <si>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</si>
  <si>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</si>
  <si>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</si>
  <si>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</si>
  <si>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</si>
  <si>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</si>
  <si>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</si>
  <si>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</si>
  <si>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</si>
  <si>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</si>
  <si>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</si>
  <si>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</si>
  <si>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</si>
  <si>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</si>
  <si>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</si>
  <si>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</si>
  <si>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</si>
  <si>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</si>
  <si>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</si>
  <si>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</si>
  <si>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</si>
  <si>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</si>
  <si>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</si>
  <si>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</si>
  <si>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</si>
  <si>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</si>
  <si>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</si>
  <si>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</si>
  <si>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</si>
  <si>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</si>
  <si>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</si>
  <si>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</si>
  <si>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</si>
  <si>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</si>
  <si>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</si>
  <si>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</si>
  <si>
    <t>J'ai pris un peu de temps pour coriger quelques petits problèmes avec le MCD</t>
  </si>
  <si>
    <t>Mis à jour pour correspondre au nouveau MCD</t>
  </si>
  <si>
    <t>Mise à jour de la documentation</t>
  </si>
  <si>
    <t>J'ai rajouté un champ pour indique si l'utilisateur a déjà changé de mot de passe</t>
  </si>
  <si>
    <t>Mise à jour du MLD pour inclure le changement du MCD</t>
  </si>
  <si>
    <t>Mise à jour du script pour inclure le changement</t>
  </si>
  <si>
    <t>Pas encore terminé, je les finirais lundi prochain</t>
  </si>
  <si>
    <t>55 - Absences</t>
  </si>
  <si>
    <t>Absence pour cause de maladie</t>
  </si>
  <si>
    <t>Terminé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</si>
</sst>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workbookViewId="0">
      <selection activeCell="G32" sqref="G32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60.5703125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55</v>
      </c>
      <c r="B4" s="24">
        <v>45048</v>
      </c>
      <c r="C4" s="25"/>
      <c r="D4" s="26"/>
      <c r="E4" s="17"/>
      <c r="F4" s="21" t="s">
        <v>21</v>
      </c>
      <c r="G4" s="27" t="s">
        <v>45</v>
      </c>
      <c r="H4" s="17"/>
    </row>
    <row r="5" spans="1:8" x14ac:dyDescent="0.25">
      <c r="A5" s="22"/>
      <c r="B5" s="17"/>
      <c r="C5" s="25" t="s">
        <v>24</v>
      </c>
      <c r="D5" s="26" t="s">
        <v>25</v>
      </c>
      <c r="E5" s="17"/>
      <c r="F5" s="15"/>
      <c r="G5" s="28" t="s">
        <v>46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47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48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20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19</v>
      </c>
      <c r="H9" s="17"/>
    </row>
    <row r="10" spans="1:8" x14ac:dyDescent="0.25">
      <c r="A10" s="17"/>
      <c r="B10" s="17"/>
      <c r="C10" s="17"/>
      <c r="D10" s="17"/>
      <c r="E10" s="17"/>
      <c r="F10" s="21" t="s">
        <v>26</v>
      </c>
      <c r="G10" s="21" t="s">
        <v>37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36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35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34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33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107" t="s">
        <v>27</v>
      </c>
      <c r="G16" s="27" t="s">
        <v>32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38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39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40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41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51</v>
      </c>
      <c r="H21" s="17"/>
    </row>
    <row r="22" spans="1:8" x14ac:dyDescent="0.25">
      <c r="A22" s="17"/>
      <c r="B22" s="17"/>
      <c r="C22" s="17"/>
      <c r="D22" s="17"/>
      <c r="E22" s="17"/>
      <c r="F22" s="21" t="s">
        <v>22</v>
      </c>
      <c r="G22" s="21" t="s">
        <v>30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42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43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28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29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18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44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49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50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60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68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31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topLeftCell="A16" zoomScale="70" zoomScaleNormal="70" zoomScalePageLayoutView="70" workbookViewId="0">
      <selection activeCell="F29" sqref="F29"/>
    </sheetView>
  </sheetViews>
  <sheetFormatPr baseColWidth="10" defaultRowHeight="16.5" x14ac:dyDescent="0.25"/>
  <cols>
    <col min="1" max="1" width="35.7109375" style="45" bestFit="1" customWidth="1"/>
    <col min="2" max="2" width="72.5703125" style="45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35.25" customHeight="1" x14ac:dyDescent="0.25">
      <c r="A1" s="29" t="s">
        <v>12</v>
      </c>
      <c r="B1" s="30">
        <f>Base!A6</f>
        <v>0</v>
      </c>
      <c r="C1" s="31"/>
      <c r="D1" s="91" t="s">
        <v>23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6.5" customHeight="1" thickBot="1" x14ac:dyDescent="0.35">
      <c r="A2" s="34" t="str">
        <f>CONCATENATE(Base!A4,IF(ISBLANK(Base!A5),, "-"),Base!A5,IF(ISBLANK(Base!A6),, "-"),Base!A6)</f>
        <v>Gestionnaire de factures</v>
      </c>
      <c r="B2" s="35" t="s">
        <v>0</v>
      </c>
      <c r="C2" s="36"/>
      <c r="D2" s="37">
        <f>Base!B4</f>
        <v>45048</v>
      </c>
      <c r="E2" s="38"/>
      <c r="F2" s="37">
        <f>D2+7</f>
        <v>45055</v>
      </c>
      <c r="G2" s="39"/>
      <c r="H2" s="37">
        <f>F2+7</f>
        <v>45062</v>
      </c>
      <c r="I2" s="39"/>
      <c r="J2" s="37">
        <f>H2+7</f>
        <v>45069</v>
      </c>
      <c r="K2" s="39"/>
      <c r="L2" s="37">
        <f>J2+7</f>
        <v>45076</v>
      </c>
      <c r="M2" s="39"/>
      <c r="N2" s="37">
        <f>L2+7</f>
        <v>45083</v>
      </c>
      <c r="O2" s="39"/>
      <c r="P2" s="37">
        <f>N2+7</f>
        <v>45090</v>
      </c>
      <c r="Q2" s="39"/>
      <c r="R2" s="40">
        <f>P2+7</f>
        <v>45097</v>
      </c>
      <c r="S2" s="39"/>
      <c r="T2" s="40">
        <f>R2+7</f>
        <v>45104</v>
      </c>
      <c r="U2" s="41"/>
    </row>
    <row r="3" spans="1:21" ht="18.75" customHeight="1" thickBot="1" x14ac:dyDescent="0.3">
      <c r="A3" s="43" t="s">
        <v>6</v>
      </c>
      <c r="B3" s="44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Künzli</v>
      </c>
      <c r="B4" s="47">
        <f>SUM(D4:T4)</f>
        <v>1.1631944444444446</v>
      </c>
      <c r="C4" s="33"/>
      <c r="D4" s="4">
        <f>SUMIF($C$8:$C$9978,$C9,D$8:D$9978)</f>
        <v>0.76388888888888895</v>
      </c>
      <c r="E4" s="2"/>
      <c r="F4" s="4">
        <f>SUMIF($C$8:$C$9978,$C9,F$8:F$9978)</f>
        <v>0.39930555555555558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20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0.35416666666666669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0.34027777777777779</v>
      </c>
    </row>
    <row r="8" spans="1:21" ht="15" customHeight="1" x14ac:dyDescent="0.25">
      <c r="B8" s="9" t="str">
        <f>Base!G4</f>
        <v>11 - Analyse du Cahier des charges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Künzli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 xml:space="preserve">12 - Planification initiale 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Künzli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13 - Documentation initiale</v>
      </c>
      <c r="C12" s="56" t="str">
        <f>A$3</f>
        <v>Prévu</v>
      </c>
      <c r="D12" s="88">
        <v>0.125</v>
      </c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0.125</v>
      </c>
    </row>
    <row r="13" spans="1:21" ht="15" customHeight="1" thickBot="1" x14ac:dyDescent="0.3">
      <c r="B13" s="60"/>
      <c r="C13" s="61" t="str">
        <f>A$4</f>
        <v>Künzli</v>
      </c>
      <c r="D13" s="62">
        <f>SUMIFS(Journal!$D$4:$D$10001,Journal!$B$4:$B$10001,D$5,Journal!$C$4:$C$10001,$B12)</f>
        <v>0.1111111111111111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0.1111111111111111</v>
      </c>
    </row>
    <row r="14" spans="1:21" ht="15" customHeight="1" x14ac:dyDescent="0.25">
      <c r="B14" s="9" t="str">
        <f>Base!G7</f>
        <v>14 - Recherches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Künzli</v>
      </c>
      <c r="D15" s="62">
        <f>SUMIFS(Journal!$D$4:$D$10001,Journal!$B$4:$B$10001,D$5,Journal!$C$4:$C$10001,$B14)</f>
        <v>4.1666666666666664E-2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4.1666666666666664E-2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Künzli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Künzli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Conceptualisation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0.59722222222222232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0.5590277777777779</v>
      </c>
    </row>
    <row r="22" spans="1:21" ht="15" customHeight="1" x14ac:dyDescent="0.25">
      <c r="B22" s="9" t="str">
        <f>Base!G10</f>
        <v>21 - MCD</v>
      </c>
      <c r="C22" s="56" t="str">
        <f>A$3</f>
        <v>Prévu</v>
      </c>
      <c r="D22" s="88">
        <v>6.25E-2</v>
      </c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Künzli</v>
      </c>
      <c r="D23" s="62">
        <f>SUMIFS(Journal!$D$4:$D$10001,Journal!$B$4:$B$10001,D$5,Journal!$C$4:$C$10001,$B22)</f>
        <v>6.9444444444444448E-2</v>
      </c>
      <c r="E23" s="63"/>
      <c r="F23" s="62">
        <v>3.472222222222222E-3</v>
      </c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7.2916666666666671E-2</v>
      </c>
    </row>
    <row r="24" spans="1:21" ht="15" customHeight="1" x14ac:dyDescent="0.25">
      <c r="B24" s="9" t="str">
        <f>Base!G11</f>
        <v>22 - MLD</v>
      </c>
      <c r="C24" s="56" t="str">
        <f>A$3</f>
        <v>Prévu</v>
      </c>
      <c r="D24" s="88">
        <v>8.3333333333333329E-2</v>
      </c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Künzli</v>
      </c>
      <c r="D25" s="62">
        <f>SUMIFS(Journal!$D$4:$D$10001,Journal!$B$4:$B$10001,D$5,Journal!$C$4:$C$10001,$B24)</f>
        <v>5.9027777777777776E-2</v>
      </c>
      <c r="E25" s="63"/>
      <c r="F25" s="62">
        <f>SUMIFS(Journal!$D$4:$D$10001,Journal!$B$4:$B$10001,F$5,Journal!$C$4:$C$10001,$B24)</f>
        <v>3.472222222222222E-3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6.25E-2</v>
      </c>
    </row>
    <row r="26" spans="1:21" ht="15" customHeight="1" x14ac:dyDescent="0.25">
      <c r="B26" s="9" t="str">
        <f>Base!G12</f>
        <v>23 - Script création de la base de données</v>
      </c>
      <c r="C26" s="56" t="str">
        <f>A$3</f>
        <v>Prévu</v>
      </c>
      <c r="D26" s="88">
        <v>1.3888888888888888E-2</v>
      </c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1.3888888888888888E-2</v>
      </c>
    </row>
    <row r="27" spans="1:21" ht="15" customHeight="1" thickBot="1" x14ac:dyDescent="0.3">
      <c r="B27" s="60"/>
      <c r="C27" s="61" t="str">
        <f>A$4</f>
        <v>Künzli</v>
      </c>
      <c r="D27" s="62">
        <f>SUMIFS(Journal!$D$4:$D$10001,Journal!$B$4:$B$10001,D$5,Journal!$C$4:$C$10001,$B26)</f>
        <v>3.472222222222222E-3</v>
      </c>
      <c r="E27" s="63"/>
      <c r="F27" s="62">
        <f>SUMIFS(Journal!$D$4:$D$10001,Journal!$B$4:$B$10001,F$5,Journal!$C$4:$C$10001,$B26)</f>
        <v>3.472222222222222E-3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6.9444444444444441E-3</v>
      </c>
    </row>
    <row r="28" spans="1:21" ht="15" customHeight="1" x14ac:dyDescent="0.25">
      <c r="B28" s="9" t="str">
        <f>Base!G13</f>
        <v>24 - Ecrire les scénarios et use cases</v>
      </c>
      <c r="C28" s="56" t="str">
        <f>A$3</f>
        <v>Prévu</v>
      </c>
      <c r="D28" s="88">
        <v>0.125</v>
      </c>
      <c r="E28" s="57"/>
      <c r="F28" s="88">
        <v>0.20833333333333334</v>
      </c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0.33333333333333337</v>
      </c>
    </row>
    <row r="29" spans="1:21" ht="15" customHeight="1" thickBot="1" x14ac:dyDescent="0.3">
      <c r="B29" s="60"/>
      <c r="C29" s="61" t="str">
        <f>A$4</f>
        <v>Künzli</v>
      </c>
      <c r="D29" s="62">
        <f>SUMIFS(Journal!$D$4:$D$10001,Journal!$B$4:$B$10001,D$5,Journal!$C$4:$C$10001,$B28)</f>
        <v>0.15972222222222224</v>
      </c>
      <c r="E29" s="63"/>
      <c r="F29" s="62">
        <f>SUMIFS(Journal!$D$4:$D$10001,Journal!$B$4:$B$10001,F$5,Journal!$C$4:$C$10001,$B28)</f>
        <v>0.1736111111111111</v>
      </c>
      <c r="G29" s="63"/>
      <c r="H29" s="62">
        <f>SUMIFS(Journal!$D$4:$D$10001,Journal!$B$4:$B$10001,H$5,Journal!$C$4:$C$10001,$B28)</f>
        <v>0</v>
      </c>
      <c r="I29" s="64"/>
      <c r="J29" s="62"/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>
        <f t="shared" si="1"/>
        <v>0.33333333333333337</v>
      </c>
    </row>
    <row r="30" spans="1:21" ht="15" customHeight="1" x14ac:dyDescent="0.25">
      <c r="B30" s="9" t="str">
        <f>Base!G14</f>
        <v>25 - Dessiner maquette d'interface graphique</v>
      </c>
      <c r="C30" s="56" t="str">
        <f>A$3</f>
        <v>Prévu</v>
      </c>
      <c r="D30" s="88"/>
      <c r="E30" s="57"/>
      <c r="F30" s="88">
        <v>0.25</v>
      </c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0.25</v>
      </c>
    </row>
    <row r="31" spans="1:21" ht="15" customHeight="1" thickBot="1" x14ac:dyDescent="0.3">
      <c r="B31" s="60"/>
      <c r="C31" s="61" t="str">
        <f>A$4</f>
        <v>Künzli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8.3333333333333329E-2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>
        <f t="shared" si="1"/>
        <v>8.3333333333333329E-2</v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Künzli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1.4930555555555556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31 - Implémenter l'authentification à l'application</v>
      </c>
      <c r="C36" s="56" t="str">
        <f>A$3</f>
        <v>Prévu</v>
      </c>
      <c r="D36" s="88"/>
      <c r="E36" s="57"/>
      <c r="F36" s="88">
        <v>0.2673611111111111</v>
      </c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0.2673611111111111</v>
      </c>
    </row>
    <row r="37" spans="1:21" s="76" customFormat="1" ht="15" customHeight="1" thickBot="1" x14ac:dyDescent="0.3">
      <c r="B37" s="60"/>
      <c r="C37" s="61" t="str">
        <f>A$4</f>
        <v>Künzli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32 - (admin) Implémenter l'import manuel des factures</v>
      </c>
      <c r="C38" s="56" t="str">
        <f>A$3</f>
        <v>Prévu</v>
      </c>
      <c r="D38" s="88"/>
      <c r="E38" s="57"/>
      <c r="F38" s="88"/>
      <c r="G38" s="57"/>
      <c r="H38" s="88">
        <v>0.29166666666666669</v>
      </c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0.29166666666666669</v>
      </c>
    </row>
    <row r="39" spans="1:21" ht="15" customHeight="1" thickBot="1" x14ac:dyDescent="0.3">
      <c r="B39" s="60"/>
      <c r="C39" s="61" t="str">
        <f>A$4</f>
        <v>Künzli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>33 - (admin) Implémenter la mise a jour des données fournisseurs</v>
      </c>
      <c r="C40" s="56" t="str">
        <f>A$3</f>
        <v>Prévu</v>
      </c>
      <c r="D40" s="88"/>
      <c r="E40" s="57"/>
      <c r="F40" s="88"/>
      <c r="G40" s="57"/>
      <c r="H40" s="88">
        <v>0.16666666666666666</v>
      </c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Künzli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34 - (user) Implémenter la consultation de facture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>
        <v>0.29166666666666669</v>
      </c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>
        <f t="shared" si="2"/>
        <v>0.29166666666666669</v>
      </c>
    </row>
    <row r="43" spans="1:21" ht="15" customHeight="1" thickBot="1" x14ac:dyDescent="0.3">
      <c r="B43" s="60"/>
      <c r="C43" s="61" t="str">
        <f>A$4</f>
        <v>Künzli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35 - (user) Implémenter les statistiques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>
        <v>0.2673611111111111</v>
      </c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>
        <f t="shared" si="2"/>
        <v>0.2673611111111111</v>
      </c>
    </row>
    <row r="45" spans="1:21" ht="15" customHeight="1" thickBot="1" x14ac:dyDescent="0.3">
      <c r="B45" s="60"/>
      <c r="C45" s="61" t="str">
        <f>A$4</f>
        <v>Künzli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 Corriger les problèmes restants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>
        <v>0.125</v>
      </c>
      <c r="K46" s="58"/>
      <c r="L46" s="90">
        <v>8.3333333333333329E-2</v>
      </c>
      <c r="M46" s="57"/>
      <c r="N46" s="89"/>
      <c r="O46" s="57"/>
      <c r="P46" s="90"/>
      <c r="Q46" s="57"/>
      <c r="R46" s="90"/>
      <c r="S46" s="57"/>
      <c r="T46" s="90"/>
      <c r="U46" s="59">
        <f t="shared" si="2"/>
        <v>0.20833333333333331</v>
      </c>
    </row>
    <row r="47" spans="1:21" ht="15" customHeight="1" thickBot="1" x14ac:dyDescent="0.3">
      <c r="B47" s="60"/>
      <c r="C47" s="61" t="str">
        <f>A$4</f>
        <v>Künzli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0.45833333333333331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41 - Ecrire tests unitaire</v>
      </c>
      <c r="C50" s="56" t="str">
        <f>A$3</f>
        <v>Prévu</v>
      </c>
      <c r="D50" s="88"/>
      <c r="E50" s="57"/>
      <c r="F50" s="88">
        <v>0.10416666666666667</v>
      </c>
      <c r="G50" s="57"/>
      <c r="H50" s="88">
        <v>0.10416666666666667</v>
      </c>
      <c r="I50" s="58"/>
      <c r="J50" s="89">
        <v>0.125</v>
      </c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>
        <f t="shared" ref="U50:U61" si="3">IF(SUM(D50:T50)=0,"",SUM(D50:T50))</f>
        <v>0.33333333333333337</v>
      </c>
    </row>
    <row r="51" spans="1:21" ht="15" customHeight="1" thickBot="1" x14ac:dyDescent="0.3">
      <c r="B51" s="60"/>
      <c r="C51" s="61" t="str">
        <f>A$4</f>
        <v>Künzli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42 - Test des fonctionnalités implémentées</v>
      </c>
      <c r="C52" s="56" t="str">
        <f>A$3</f>
        <v>Prévu</v>
      </c>
      <c r="D52" s="88"/>
      <c r="E52" s="57"/>
      <c r="F52" s="88">
        <v>4.1666666666666664E-2</v>
      </c>
      <c r="G52" s="57"/>
      <c r="H52" s="88">
        <v>2.0833333333333332E-2</v>
      </c>
      <c r="I52" s="58"/>
      <c r="J52" s="89">
        <v>4.1666666666666664E-2</v>
      </c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>
        <f t="shared" si="3"/>
        <v>0.10416666666666666</v>
      </c>
    </row>
    <row r="53" spans="1:21" ht="15" customHeight="1" thickBot="1" x14ac:dyDescent="0.3">
      <c r="B53" s="60"/>
      <c r="C53" s="61" t="str">
        <f>A$4</f>
        <v>Künzli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 Session de test expérience utilisateur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>
        <v>2.0833333333333332E-2</v>
      </c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>
        <f t="shared" si="3"/>
        <v>2.0833333333333332E-2</v>
      </c>
    </row>
    <row r="55" spans="1:21" ht="15" customHeight="1" thickBot="1" x14ac:dyDescent="0.3">
      <c r="B55" s="60"/>
      <c r="C55" s="61" t="str">
        <f>A$4</f>
        <v>Künzli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Künzli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Künzli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Künzli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0.57638888888888884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0.2638888888888889</v>
      </c>
    </row>
    <row r="64" spans="1:21" ht="15" customHeight="1" x14ac:dyDescent="0.25">
      <c r="B64" s="9" t="str">
        <f>Base!G28</f>
        <v>51 - Documentation</v>
      </c>
      <c r="C64" s="56" t="str">
        <f>A$3</f>
        <v>Prévu</v>
      </c>
      <c r="D64" s="88">
        <v>0.10416666666666667</v>
      </c>
      <c r="E64" s="57"/>
      <c r="F64" s="88">
        <v>0.10416666666666667</v>
      </c>
      <c r="G64" s="57"/>
      <c r="H64" s="88">
        <v>0.10416666666666667</v>
      </c>
      <c r="I64" s="58"/>
      <c r="J64" s="89">
        <v>0.10416666666666667</v>
      </c>
      <c r="K64" s="58"/>
      <c r="L64" s="90">
        <v>8.3333333333333329E-2</v>
      </c>
      <c r="M64" s="57"/>
      <c r="N64" s="89"/>
      <c r="O64" s="57"/>
      <c r="P64" s="90"/>
      <c r="Q64" s="57"/>
      <c r="R64" s="90"/>
      <c r="S64" s="57"/>
      <c r="T64" s="90"/>
      <c r="U64" s="59">
        <f>IF(SUM(E64:T64)=0,"",SUM(E64:T64))</f>
        <v>0.39583333333333331</v>
      </c>
    </row>
    <row r="65" spans="2:21" ht="15" customHeight="1" thickBot="1" x14ac:dyDescent="0.3">
      <c r="B65" s="60"/>
      <c r="C65" s="61" t="str">
        <f>A$4</f>
        <v>Künzli</v>
      </c>
      <c r="D65" s="62">
        <f>SUMIFS(Journal!$D$4:$D$10001,Journal!$B$4:$B$10001,D$5,Journal!$C$4:$C$10001,$B64)</f>
        <v>0.1111111111111111</v>
      </c>
      <c r="E65" s="63"/>
      <c r="F65" s="62">
        <f>SUMIFS(Journal!$D$4:$D$10001,Journal!$B$4:$B$10001,F$5,Journal!$C$4:$C$10001,$B64)</f>
        <v>0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>
        <f>IF(SUM(D65:T65)=0,"",SUM(D65:T65))</f>
        <v>0.1111111111111111</v>
      </c>
    </row>
    <row r="66" spans="2:21" ht="15" customHeight="1" x14ac:dyDescent="0.25">
      <c r="B66" s="9" t="str">
        <f>Base!G29</f>
        <v>52 - Rendu journal de travail + rapport</v>
      </c>
      <c r="C66" s="56" t="str">
        <f>A$3</f>
        <v>Prévu</v>
      </c>
      <c r="D66" s="88">
        <v>2.0833333333333332E-2</v>
      </c>
      <c r="E66" s="57"/>
      <c r="F66" s="88">
        <v>2.0833333333333332E-2</v>
      </c>
      <c r="G66" s="57"/>
      <c r="H66" s="88">
        <v>1.0416666666666666E-2</v>
      </c>
      <c r="I66" s="58"/>
      <c r="J66" s="89">
        <v>2.0833333333333332E-2</v>
      </c>
      <c r="K66" s="58"/>
      <c r="L66" s="90">
        <v>4.5138888888888888E-2</v>
      </c>
      <c r="M66" s="57"/>
      <c r="N66" s="89"/>
      <c r="O66" s="57"/>
      <c r="P66" s="90"/>
      <c r="Q66" s="57"/>
      <c r="R66" s="90"/>
      <c r="S66" s="57"/>
      <c r="T66" s="90"/>
      <c r="U66" s="59">
        <f>IF(SUM(E66:T66)=0,"",SUM(E66:T66))</f>
        <v>9.722222222222221E-2</v>
      </c>
    </row>
    <row r="67" spans="2:21" ht="15" customHeight="1" thickBot="1" x14ac:dyDescent="0.3">
      <c r="B67" s="60"/>
      <c r="C67" s="61" t="str">
        <f>A$4</f>
        <v>Künzli</v>
      </c>
      <c r="D67" s="62">
        <f>SUMIFS(Journal!$D$4:$D$10001,Journal!$B$4:$B$10001,D$5,Journal!$C$4:$C$10001,$B66)</f>
        <v>2.0833333333333332E-2</v>
      </c>
      <c r="E67" s="63"/>
      <c r="F67" s="62">
        <f>SUMIFS(Journal!$D$4:$D$10001,Journal!$B$4:$B$10001,F$5,Journal!$C$4:$C$10001,$B66)</f>
        <v>0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>
        <f t="shared" ref="U67:U75" si="4">IF(SUM(D67:T67)=0,"",SUM(D67:T67))</f>
        <v>2.0833333333333332E-2</v>
      </c>
    </row>
    <row r="68" spans="2:21" ht="15" customHeight="1" x14ac:dyDescent="0.25">
      <c r="B68" s="9" t="str">
        <f>Base!G30</f>
        <v>53 - Backup base de données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Künzli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 Finalisation documentation et rendu final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>
        <v>8.3333333333333329E-2</v>
      </c>
      <c r="M70" s="57"/>
      <c r="N70" s="89"/>
      <c r="O70" s="57"/>
      <c r="P70" s="90"/>
      <c r="Q70" s="57"/>
      <c r="R70" s="90"/>
      <c r="S70" s="57"/>
      <c r="T70" s="90"/>
      <c r="U70" s="59">
        <f t="shared" si="4"/>
        <v>8.3333333333333329E-2</v>
      </c>
    </row>
    <row r="71" spans="2:21" ht="15" customHeight="1" thickBot="1" x14ac:dyDescent="0.3">
      <c r="B71" s="60"/>
      <c r="C71" s="61" t="str">
        <f>A$4</f>
        <v>Künzli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>55 - Absences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Künzli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0.13194444444444445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>
        <f t="shared" si="4"/>
        <v>0.13194444444444445</v>
      </c>
    </row>
    <row r="74" spans="2:21" ht="15" customHeight="1" x14ac:dyDescent="0.25">
      <c r="B74" s="9" t="str">
        <f>Base!G33</f>
        <v>56 -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Künzli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57" orientation="portrait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tabSelected="1" workbookViewId="0">
      <pane ySplit="3" topLeftCell="A10" activePane="bottomLeft" state="frozen"/>
      <selection sqref="A1:U75"/>
      <selection pane="bottomLeft" activeCell="C27" sqref="C27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Künzli Christophe</v>
      </c>
      <c r="D1" s="100"/>
      <c r="E1" s="101">
        <f ca="1">TODAY()</f>
        <v>45055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45048</v>
      </c>
      <c r="B4" s="105">
        <f>WEEKNUM(A4,1)</f>
        <v>18</v>
      </c>
      <c r="C4" s="7" t="s">
        <v>45</v>
      </c>
      <c r="D4" s="96">
        <v>6.25E-2</v>
      </c>
      <c r="E4" s="94" t="s">
        <v>52</v>
      </c>
    </row>
    <row r="5" spans="1:5" ht="30" x14ac:dyDescent="0.25">
      <c r="A5" s="92">
        <v>45048</v>
      </c>
      <c r="B5" s="105">
        <f>WEEKNUM(A5,1)</f>
        <v>18</v>
      </c>
      <c r="C5" s="7" t="s">
        <v>46</v>
      </c>
      <c r="D5" s="96">
        <v>0.125</v>
      </c>
      <c r="E5" s="94" t="s">
        <v>53</v>
      </c>
    </row>
    <row r="6" spans="1:5" ht="30" x14ac:dyDescent="0.25">
      <c r="A6" s="92">
        <v>45048</v>
      </c>
      <c r="B6" s="105">
        <f>WEEKNUM(A6,1)</f>
        <v>18</v>
      </c>
      <c r="C6" s="7" t="s">
        <v>47</v>
      </c>
      <c r="D6" s="96">
        <v>0.1111111111111111</v>
      </c>
      <c r="E6" s="94" t="s">
        <v>54</v>
      </c>
    </row>
    <row r="7" spans="1:5" ht="75" x14ac:dyDescent="0.25">
      <c r="A7" s="92">
        <v>45049</v>
      </c>
      <c r="B7" s="105">
        <f t="shared" ref="B7:B70" si="0">WEEKNUM(A7,1)</f>
        <v>18</v>
      </c>
      <c r="C7" s="7" t="s">
        <v>37</v>
      </c>
      <c r="D7" s="96">
        <v>4.8611111111111112E-2</v>
      </c>
      <c r="E7" s="94" t="s">
        <v>56</v>
      </c>
    </row>
    <row r="8" spans="1:5" x14ac:dyDescent="0.25">
      <c r="A8" s="92">
        <v>45049</v>
      </c>
      <c r="B8" s="105">
        <f t="shared" si="0"/>
        <v>18</v>
      </c>
      <c r="C8" s="7" t="s">
        <v>36</v>
      </c>
      <c r="D8" s="96">
        <v>5.2083333333333336E-2</v>
      </c>
      <c r="E8" s="94"/>
    </row>
    <row r="9" spans="1:5" ht="45" x14ac:dyDescent="0.25">
      <c r="A9" s="92">
        <v>45049</v>
      </c>
      <c r="B9" s="105">
        <f t="shared" si="0"/>
        <v>18</v>
      </c>
      <c r="C9" s="7" t="s">
        <v>37</v>
      </c>
      <c r="D9" s="96">
        <v>6.9444444444444441E-3</v>
      </c>
      <c r="E9" s="94" t="s">
        <v>57</v>
      </c>
    </row>
    <row r="10" spans="1:5" ht="45" x14ac:dyDescent="0.25">
      <c r="A10" s="92">
        <v>45049</v>
      </c>
      <c r="B10" s="105">
        <f t="shared" si="0"/>
        <v>18</v>
      </c>
      <c r="C10" s="7" t="s">
        <v>48</v>
      </c>
      <c r="D10" s="96">
        <v>4.1666666666666664E-2</v>
      </c>
      <c r="E10" s="94" t="s">
        <v>58</v>
      </c>
    </row>
    <row r="11" spans="1:5" x14ac:dyDescent="0.25">
      <c r="A11" s="92">
        <v>45049</v>
      </c>
      <c r="B11" s="105">
        <f t="shared" si="0"/>
        <v>18</v>
      </c>
      <c r="C11" s="7" t="s">
        <v>35</v>
      </c>
      <c r="D11" s="96">
        <v>3.472222222222222E-3</v>
      </c>
      <c r="E11" s="94" t="s">
        <v>59</v>
      </c>
    </row>
    <row r="12" spans="1:5" ht="30" x14ac:dyDescent="0.25">
      <c r="A12" s="92">
        <v>45050</v>
      </c>
      <c r="B12" s="105">
        <f>WEEKNUM(A12,1)</f>
        <v>18</v>
      </c>
      <c r="C12" s="7" t="s">
        <v>37</v>
      </c>
      <c r="D12" s="96">
        <v>1.3888888888888888E-2</v>
      </c>
      <c r="E12" s="94" t="s">
        <v>61</v>
      </c>
    </row>
    <row r="13" spans="1:5" x14ac:dyDescent="0.25">
      <c r="A13" s="92">
        <v>45050</v>
      </c>
      <c r="B13" s="105">
        <f t="shared" ref="B13:B15" si="1">WEEKNUM(A13,1)</f>
        <v>18</v>
      </c>
      <c r="C13" s="7" t="s">
        <v>36</v>
      </c>
      <c r="D13" s="96">
        <v>6.9444444444444441E-3</v>
      </c>
      <c r="E13" s="94" t="s">
        <v>62</v>
      </c>
    </row>
    <row r="14" spans="1:5" x14ac:dyDescent="0.25">
      <c r="A14" s="92">
        <v>45050</v>
      </c>
      <c r="B14" s="105">
        <f t="shared" si="1"/>
        <v>18</v>
      </c>
      <c r="C14" s="7" t="s">
        <v>34</v>
      </c>
      <c r="D14" s="96">
        <v>0.15972222222222224</v>
      </c>
      <c r="E14" s="94" t="s">
        <v>67</v>
      </c>
    </row>
    <row r="15" spans="1:5" x14ac:dyDescent="0.25">
      <c r="A15" s="92">
        <v>45050</v>
      </c>
      <c r="B15" s="105">
        <f t="shared" si="1"/>
        <v>18</v>
      </c>
      <c r="C15" s="7" t="s">
        <v>44</v>
      </c>
      <c r="D15" s="96">
        <v>0.1111111111111111</v>
      </c>
      <c r="E15" s="94" t="s">
        <v>63</v>
      </c>
    </row>
    <row r="16" spans="1:5" x14ac:dyDescent="0.25">
      <c r="A16" s="92">
        <v>45050</v>
      </c>
      <c r="B16" s="105">
        <f t="shared" si="0"/>
        <v>18</v>
      </c>
      <c r="C16" s="7" t="s">
        <v>49</v>
      </c>
      <c r="D16" s="96">
        <v>2.0833333333333332E-2</v>
      </c>
      <c r="E16" s="94"/>
    </row>
    <row r="17" spans="1:5" ht="30" x14ac:dyDescent="0.25">
      <c r="A17" s="92">
        <v>45054</v>
      </c>
      <c r="B17" s="105">
        <f t="shared" si="0"/>
        <v>19</v>
      </c>
      <c r="C17" s="7" t="s">
        <v>37</v>
      </c>
      <c r="D17" s="96">
        <v>3.472222222222222E-3</v>
      </c>
      <c r="E17" s="94" t="s">
        <v>64</v>
      </c>
    </row>
    <row r="18" spans="1:5" ht="30" x14ac:dyDescent="0.25">
      <c r="A18" s="92">
        <v>45054</v>
      </c>
      <c r="B18" s="105">
        <f t="shared" si="0"/>
        <v>19</v>
      </c>
      <c r="C18" s="7" t="s">
        <v>36</v>
      </c>
      <c r="D18" s="96">
        <v>3.472222222222222E-3</v>
      </c>
      <c r="E18" s="94" t="s">
        <v>65</v>
      </c>
    </row>
    <row r="19" spans="1:5" ht="16.5" customHeight="1" x14ac:dyDescent="0.25">
      <c r="A19" s="92">
        <v>45054</v>
      </c>
      <c r="B19" s="105">
        <f t="shared" si="0"/>
        <v>19</v>
      </c>
      <c r="C19" s="7" t="s">
        <v>35</v>
      </c>
      <c r="D19" s="96">
        <v>3.472222222222222E-3</v>
      </c>
      <c r="E19" s="94" t="s">
        <v>66</v>
      </c>
    </row>
    <row r="20" spans="1:5" x14ac:dyDescent="0.25">
      <c r="A20" s="92">
        <v>45054</v>
      </c>
      <c r="B20" s="105">
        <f t="shared" si="0"/>
        <v>19</v>
      </c>
      <c r="C20" s="7" t="s">
        <v>34</v>
      </c>
      <c r="D20" s="96">
        <v>9.0277777777777776E-2</v>
      </c>
      <c r="E20" s="94"/>
    </row>
    <row r="21" spans="1:5" x14ac:dyDescent="0.25">
      <c r="A21" s="92">
        <v>45054</v>
      </c>
      <c r="B21" s="105">
        <f t="shared" si="0"/>
        <v>19</v>
      </c>
      <c r="C21" s="7" t="s">
        <v>68</v>
      </c>
      <c r="D21" s="96">
        <v>0.13194444444444445</v>
      </c>
      <c r="E21" s="94" t="s">
        <v>69</v>
      </c>
    </row>
    <row r="22" spans="1:5" x14ac:dyDescent="0.25">
      <c r="A22" s="92">
        <v>45055</v>
      </c>
      <c r="B22" s="105">
        <f t="shared" si="0"/>
        <v>19</v>
      </c>
      <c r="C22" s="7" t="s">
        <v>34</v>
      </c>
      <c r="D22" s="96">
        <v>8.3333333333333329E-2</v>
      </c>
      <c r="E22" s="94" t="s">
        <v>70</v>
      </c>
    </row>
    <row r="23" spans="1:5" x14ac:dyDescent="0.25">
      <c r="A23" s="92">
        <v>45055</v>
      </c>
      <c r="B23" s="105">
        <f t="shared" si="0"/>
        <v>19</v>
      </c>
      <c r="C23" s="7" t="s">
        <v>33</v>
      </c>
      <c r="D23" s="96">
        <v>8.3333333333333329E-2</v>
      </c>
      <c r="E23" s="94"/>
    </row>
    <row r="24" spans="1:5" x14ac:dyDescent="0.25">
      <c r="A24" s="92"/>
      <c r="B24" s="105">
        <f t="shared" si="0"/>
        <v>0</v>
      </c>
      <c r="C24" s="7"/>
      <c r="D24" s="96"/>
      <c r="E24" s="94"/>
    </row>
    <row r="25" spans="1:5" x14ac:dyDescent="0.25">
      <c r="A25" s="92"/>
      <c r="B25" s="105">
        <f t="shared" si="0"/>
        <v>0</v>
      </c>
      <c r="C25" s="7"/>
      <c r="D25" s="96"/>
      <c r="E25" s="94"/>
    </row>
    <row r="26" spans="1:5" x14ac:dyDescent="0.25">
      <c r="A26" s="92"/>
      <c r="B26" s="105">
        <f t="shared" si="0"/>
        <v>0</v>
      </c>
      <c r="C26" s="7"/>
      <c r="D26" s="96"/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electLockedCells="1"/>
  <pageMargins left="0.70866141732283472" right="0.70866141732283472" top="0.74803149606299213" bottom="0.39370078740157483" header="0.31496062992125984" footer="0.19685039370078741"/>
  <pageSetup paperSize="8" scale="10" orientation="portrait" r:id="rId1"/>
  <headerFooter>
    <oddHeader>&amp;L&amp;G</oddHeader>
    <oddFooter>&amp;CPage &amp;P&amp;RT1710_planning.xlsm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2023-05-04T14:45:37Z</cp:lastPrinted>
  <dcterms:created xsi:type="dcterms:W3CDTF">2015-01-22T08:10:30Z</dcterms:created>
  <dcterms:modified xsi:type="dcterms:W3CDTF">2023-05-09T08:00:27Z</dcterms:modified>
</cp:coreProperties>
</file>