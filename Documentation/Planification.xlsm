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Bill-Manager\Documentation\"/>
    </mc:Choice>
  </mc:AlternateContent>
  <xr:revisionPtr revIDLastSave="0" documentId="13_ncr:1_{5D2AE372-2959-4197-BB57-7E60720754D4}" xr6:coauthVersionLast="47" xr6:coauthVersionMax="47" xr10:uidLastSave="{00000000-0000-0000-0000-000000000000}"/>
  <bookViews>
    <workbookView xWindow="0" yWindow="825" windowWidth="7500" windowHeight="951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0" i="6" l="1"/>
  <c r="B61" i="6"/>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71" i="1"/>
  <c r="B73" i="6"/>
  <c r="B30" i="6"/>
  <c r="B79" i="6"/>
  <c r="B91" i="6"/>
  <c r="B42" i="6"/>
  <c r="B67" i="6"/>
  <c r="B85" i="6"/>
  <c r="B36" i="6"/>
  <c r="B48" i="6"/>
  <c r="B17" i="6"/>
  <c r="B7" i="6"/>
  <c r="B51" i="6"/>
  <c r="B39" i="6"/>
  <c r="P65" i="1" s="1"/>
  <c r="B58" i="6"/>
  <c r="L53" i="1" s="1"/>
  <c r="B45" i="6"/>
  <c r="B21" i="6"/>
  <c r="B27" i="6"/>
  <c r="B64" i="6"/>
  <c r="P75" i="1" s="1"/>
  <c r="B88" i="6"/>
  <c r="B94" i="6"/>
  <c r="B82" i="6"/>
  <c r="P51" i="1" l="1"/>
  <c r="L73" i="1"/>
  <c r="P39" i="1"/>
  <c r="P43" i="1"/>
  <c r="P69" i="1"/>
  <c r="P33" i="1"/>
  <c r="P53" i="1"/>
  <c r="P27" i="1"/>
  <c r="P45" i="1"/>
  <c r="P13" i="1"/>
  <c r="P11" i="1"/>
  <c r="L47" i="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<sst xmlns="http://schemas.openxmlformats.org/spreadsheetml/2006/main" count="180" uniqueCount="105">
  <si>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</si>
  <si>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</si>
  <si>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</si>
  <si>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</si>
  <si>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</si>
  <si>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</si>
  <si>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</si>
  <si>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</si>
  <si>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</si>
  <si>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</si>
  <si>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</si>
  <si>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</si>
  <si>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</si>
  <si>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</si>
  <si>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</si>
  <si>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</si>
  <si>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</si>
  <si>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</si>
  <si>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</si>
  <si>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</si>
  <si>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</si>
  <si>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</si>
  <si>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</si>
  <si>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</si>
  <si>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</si>
  <si>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</si>
  <si>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</si>
  <si>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</si>
  <si>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</si>
  <si>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</si>
  <si>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</si>
  <si>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</si>
  <si>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</si>
  <si>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</si>
  <si>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</si>
  <si>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</si>
  <si>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</si>
  <si>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</si>
  <si>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</si>
  <si>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</si>
  <si>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</si>
  <si>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</si>
  <si>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</si>
  <si>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</si>
  <si>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</si>
  <si>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</si>
  <si>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</si>
  <si>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</si>
  <si>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</si>
  <si>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</si>
  <si>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</si>
  <si>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</si>
  <si>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</si>
  <si>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</si>
  <si>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J'ai créé un projet brouillon pour tester certains points pas évidents (Upload de fichiers, afficher image, imprimer image, etc ...)</t>
  </si>
  <si>
    <t>Généré à partir du MLD via MySQL Workbench</t>
  </si>
  <si>
    <t>54 - Finalisation documentation et rendu final</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</si>
  <si>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</si>
  <si>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</si>
  <si>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</si>
  <si>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</si>
  <si>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</si>
  <si>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</si>
  <si>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</si>
  <si>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</si>
  <si>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</si>
  <si>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</si>
  <si>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</si>
  <si>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</si>
  <si>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</si>
  <si>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</si>
  <si>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</si>
  <si>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</si>
  <si>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</si>
  <si>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</si>
  <si>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</si>
  <si>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</si>
  <si>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</si>
  <si>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</si>
  <si>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</si>
  <si>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</si>
  <si>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J'ai pu importer des factures de fournisseurs différents</t>
  </si>
  <si>
    <t>J'ai pris du temps pour rechercher des solutions pour le traitement de pdf dans une application c# (affichage et impression)</t>
  </si>
  <si>
    <t>Création du formulaire listant les factures</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</si>
  <si>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</si>
  <si>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</si>
  <si>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</si>
  <si>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</si>
  <si>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</si>
  <si>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</si>
  <si>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En plus d'avancer la documentation, j'ai remis à jour les MCD et MLD</t>
  </si>
  <si>
    <t>J'ai corrigé plusieurs des problèmes restants</t>
  </si>
  <si>
    <t>En plus d'avancer la documentation</t>
  </si>
  <si>
    <t>A cause de certains problèmes, le rendu final officiel a été repoussé à demain. Mais comme je n'ai pas besoin de ce temps supplémentaire, je fais mon rendu final aujourd'hui</t>
  </si>
  <si>
    <t>J'ai pris un peu de temps pour corriger certains des problèmes relevés par corentin lors du test d'expérience utilisateur. Je suis aussi repassé sur tout le code pour ajouter des commentaires et entêtes de fonctions</t>
  </si>
  <si>
    <t xml:space="preserve">Faire des recherches parmi la liste de facture et afficher toutes les données d'une facture </t>
  </si>
  <si>
    <t>Comme cette semaine est raccourcie, j'envoie le 2ème rendu aujourd'hui. Le contenu du rapport n'a pas beaucoup changé vu qu'il n'y a eu que très peu de temps pour travailler depuis le rendu d'hier</t>
  </si>
  <si>
    <t>J'ai commencé à écrire une classe afin de tester la classe de connexion  à la base de données</t>
  </si>
  <si>
    <t>J'ai ajouté la création automatique des dossiers de stockage des fichiers pdf contenant les factures</t>
  </si>
  <si>
    <t>À la suite d’une discussion Mme Andolfatto, nous avons décidé d'apposer au nom du fournisseur le type de service. Ce choix permet de justifier la présence de plusieurs entrées du même fournisseur avec des adresses différentes</t>
  </si>
  <si>
    <t>Cette fonctionnalité m'a pris beaucoup moins de temps que prévu. Je vais tester le bon fonctionnement, puis je peux prendre de l'avance et commencer à implémenter la prochaine fonctionnalité tout de suite.</t>
  </si>
  <si>
    <t>Test des fonctionnalités de login et de changements du mot passe lors de la 1ère connexion</t>
  </si>
  <si>
    <t>J'ai pris un peu de temps pour corriger quelques petits problèmes avec le MCD</t>
  </si>
  <si>
    <t xml:space="preserve">Mme Andolfatto est passée me voir tout de suite pour répondre à mes questions. Après discussion avec elle j'ai pu corriger le MCD </t>
  </si>
  <si>
    <t>Après avoir reçu le cahier des charges de la part de l'expert, j'ai passé une trentaine de minutes à le relire. J'ai quelques questions à poser à la cheffe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</si>
</sst>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27" sqref="G27"/>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52</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72</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56</v>
      </c>
      <c r="H31" s="15"/>
    </row>
    <row r="32" spans="1:8" x14ac:dyDescent="0.25">
      <c r="A32" s="15"/>
      <c r="B32" s="15"/>
      <c r="C32" s="15"/>
      <c r="D32" s="15"/>
      <c r="E32" s="15"/>
      <c r="F32" s="13"/>
      <c r="G32" s="20" t="s">
        <v>63</v>
      </c>
      <c r="H32" s="15"/>
    </row>
    <row r="33" spans="1:8" x14ac:dyDescent="0.25">
      <c r="A33" s="15"/>
      <c r="B33" s="15"/>
      <c r="C33" s="15"/>
      <c r="D33" s="15"/>
      <c r="E33" s="15"/>
      <c r="F33" s="14"/>
      <c r="G33" s="20" t="s">
        <v>80</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zoomScale="70" zoomScaleNormal="70" zoomScalePageLayoutView="70" workbookViewId="0">
      <selection activeCell="X27" sqref="X27"/>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3.7500000000000004</v>
      </c>
      <c r="C4" s="31"/>
      <c r="D4" s="4">
        <f>SUMIF($C$8:$C$9978,$C9,D$8:D$9978)</f>
        <v>0.76388888888888895</v>
      </c>
      <c r="E4" s="2"/>
      <c r="F4" s="4">
        <f>SUMIF($C$8:$C$9978,$C9,F$8:F$9978)</f>
        <v>0.99652777777777779</v>
      </c>
      <c r="G4" s="3"/>
      <c r="H4" s="4">
        <f>SUMIF($C$8:$C$9978,$C9,H$8:H$9978)</f>
        <v>0.69791666666666663</v>
      </c>
      <c r="I4" s="3"/>
      <c r="J4" s="4">
        <f>SUMIF($C$8:$C$9978,$C9,J$8:J$9978)</f>
        <v>0.9965277777777779</v>
      </c>
      <c r="K4" s="3"/>
      <c r="L4" s="4">
        <f>SUMIF($C$8:$C$9978,$C9,L$8:L$9978)</f>
        <v>0.2951388888888889</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1.0972222222222223</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0.25</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0.25</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1.2569444444444444</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0.29166666666666669</v>
      </c>
      <c r="K65" s="62"/>
      <c r="L65" s="60">
        <f>SUMIFS(Journal!$D$4:$D$10001,Journal!$B$4:$B$10001,L$5,Journal!$C$4:$C$10001,$B64)</f>
        <v>0.16666666666666666</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0.90972222222222221</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1.3888888888888888E-2</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6.5972222222222224E-2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0.12847222222222224</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f t="shared" si="4"/>
        <v>0.12847222222222224</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topLeftCell="B1" workbookViewId="0">
      <pane ySplit="3" topLeftCell="A67" activePane="bottomLeft" state="frozen"/>
      <selection activeCell="B78" sqref="B78"/>
      <selection pane="bottomLeft" activeCell="B37" sqref="B37:E70"/>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45076</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104</v>
      </c>
    </row>
    <row r="5" spans="1:5" ht="30" x14ac:dyDescent="0.25">
      <c r="A5" s="90">
        <v>45048</v>
      </c>
      <c r="B5" s="103">
        <f>WEEKNUM(A5,1)</f>
        <v>18</v>
      </c>
      <c r="C5" s="110" t="s">
        <v>44</v>
      </c>
      <c r="D5" s="94">
        <v>0.125</v>
      </c>
      <c r="E5" s="92" t="s">
        <v>50</v>
      </c>
    </row>
    <row r="6" spans="1:5" ht="30" x14ac:dyDescent="0.25">
      <c r="A6" s="90">
        <v>45048</v>
      </c>
      <c r="B6" s="103">
        <f>WEEKNUM(A6,1)</f>
        <v>18</v>
      </c>
      <c r="C6" s="110" t="s">
        <v>45</v>
      </c>
      <c r="D6" s="94">
        <v>0.1111111111111111</v>
      </c>
      <c r="E6" s="92" t="s">
        <v>51</v>
      </c>
    </row>
    <row r="7" spans="1:5" ht="75" x14ac:dyDescent="0.25">
      <c r="A7" s="90">
        <v>45049</v>
      </c>
      <c r="B7" s="103">
        <f t="shared" ref="B7:B70" si="0">WEEKNUM(A7,1)</f>
        <v>18</v>
      </c>
      <c r="C7" s="110" t="s">
        <v>35</v>
      </c>
      <c r="D7" s="94">
        <v>4.8611111111111112E-2</v>
      </c>
      <c r="E7" s="92" t="s">
        <v>53</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103</v>
      </c>
    </row>
    <row r="10" spans="1:5" ht="45" x14ac:dyDescent="0.25">
      <c r="A10" s="90">
        <v>45049</v>
      </c>
      <c r="B10" s="103">
        <f t="shared" si="0"/>
        <v>18</v>
      </c>
      <c r="C10" s="110" t="s">
        <v>46</v>
      </c>
      <c r="D10" s="94">
        <v>4.1666666666666664E-2</v>
      </c>
      <c r="E10" s="92" t="s">
        <v>54</v>
      </c>
    </row>
    <row r="11" spans="1:5" x14ac:dyDescent="0.25">
      <c r="A11" s="90">
        <v>45049</v>
      </c>
      <c r="B11" s="103">
        <f t="shared" si="0"/>
        <v>18</v>
      </c>
      <c r="C11" s="110" t="s">
        <v>33</v>
      </c>
      <c r="D11" s="94">
        <v>3.472222222222222E-3</v>
      </c>
      <c r="E11" s="92" t="s">
        <v>55</v>
      </c>
    </row>
    <row r="12" spans="1:5" ht="30" x14ac:dyDescent="0.25">
      <c r="A12" s="90">
        <v>45050</v>
      </c>
      <c r="B12" s="103">
        <f>WEEKNUM(A12,1)</f>
        <v>18</v>
      </c>
      <c r="C12" s="110" t="s">
        <v>35</v>
      </c>
      <c r="D12" s="94">
        <v>1.3888888888888888E-2</v>
      </c>
      <c r="E12" s="92" t="s">
        <v>102</v>
      </c>
    </row>
    <row r="13" spans="1:5" x14ac:dyDescent="0.25">
      <c r="A13" s="90">
        <v>45050</v>
      </c>
      <c r="B13" s="103">
        <f t="shared" ref="B13:B15" si="1">WEEKNUM(A13,1)</f>
        <v>18</v>
      </c>
      <c r="C13" s="110" t="s">
        <v>34</v>
      </c>
      <c r="D13" s="94">
        <v>6.9444444444444441E-3</v>
      </c>
      <c r="E13" s="92" t="s">
        <v>57</v>
      </c>
    </row>
    <row r="14" spans="1:5" x14ac:dyDescent="0.25">
      <c r="A14" s="90">
        <v>45050</v>
      </c>
      <c r="B14" s="103">
        <f t="shared" si="1"/>
        <v>18</v>
      </c>
      <c r="C14" s="110" t="s">
        <v>32</v>
      </c>
      <c r="D14" s="94">
        <v>0.15972222222222224</v>
      </c>
      <c r="E14" s="92" t="s">
        <v>62</v>
      </c>
    </row>
    <row r="15" spans="1:5" x14ac:dyDescent="0.25">
      <c r="A15" s="90">
        <v>45050</v>
      </c>
      <c r="B15" s="103">
        <f t="shared" si="1"/>
        <v>18</v>
      </c>
      <c r="C15" s="110" t="s">
        <v>42</v>
      </c>
      <c r="D15" s="94">
        <v>0.1111111111111111</v>
      </c>
      <c r="E15" s="92" t="s">
        <v>58</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59</v>
      </c>
    </row>
    <row r="18" spans="1:5" ht="30" x14ac:dyDescent="0.25">
      <c r="A18" s="90">
        <v>45054</v>
      </c>
      <c r="B18" s="103">
        <f t="shared" si="0"/>
        <v>19</v>
      </c>
      <c r="C18" s="110" t="s">
        <v>34</v>
      </c>
      <c r="D18" s="94">
        <v>3.472222222222222E-3</v>
      </c>
      <c r="E18" s="92" t="s">
        <v>60</v>
      </c>
    </row>
    <row r="19" spans="1:5" ht="16.5" customHeight="1" x14ac:dyDescent="0.25">
      <c r="A19" s="90">
        <v>45054</v>
      </c>
      <c r="B19" s="103">
        <f t="shared" si="0"/>
        <v>19</v>
      </c>
      <c r="C19" s="110" t="s">
        <v>33</v>
      </c>
      <c r="D19" s="94">
        <v>3.472222222222222E-3</v>
      </c>
      <c r="E19" s="92" t="s">
        <v>61</v>
      </c>
    </row>
    <row r="20" spans="1:5" x14ac:dyDescent="0.25">
      <c r="A20" s="90">
        <v>45054</v>
      </c>
      <c r="B20" s="103">
        <f t="shared" si="0"/>
        <v>19</v>
      </c>
      <c r="C20" s="110" t="s">
        <v>32</v>
      </c>
      <c r="D20" s="94">
        <v>9.0277777777777776E-2</v>
      </c>
      <c r="E20" s="92"/>
    </row>
    <row r="21" spans="1:5" x14ac:dyDescent="0.25">
      <c r="A21" s="90">
        <v>45054</v>
      </c>
      <c r="B21" s="103">
        <f t="shared" si="0"/>
        <v>19</v>
      </c>
      <c r="C21" s="110" t="s">
        <v>63</v>
      </c>
      <c r="D21" s="94">
        <v>0.13194444444444445</v>
      </c>
      <c r="E21" s="92" t="s">
        <v>64</v>
      </c>
    </row>
    <row r="22" spans="1:5" x14ac:dyDescent="0.25">
      <c r="A22" s="90">
        <v>45055</v>
      </c>
      <c r="B22" s="103">
        <f t="shared" si="0"/>
        <v>19</v>
      </c>
      <c r="C22" s="110" t="s">
        <v>32</v>
      </c>
      <c r="D22" s="94">
        <v>8.3333333333333329E-2</v>
      </c>
      <c r="E22" s="92" t="s">
        <v>65</v>
      </c>
    </row>
    <row r="23" spans="1:5" ht="30" x14ac:dyDescent="0.25">
      <c r="A23" s="90">
        <v>45055</v>
      </c>
      <c r="B23" s="103">
        <f t="shared" si="0"/>
        <v>19</v>
      </c>
      <c r="C23" s="110" t="s">
        <v>31</v>
      </c>
      <c r="D23" s="94">
        <v>8.3333333333333329E-2</v>
      </c>
      <c r="E23" s="92" t="s">
        <v>66</v>
      </c>
    </row>
    <row r="24" spans="1:5" x14ac:dyDescent="0.25">
      <c r="A24" s="90">
        <v>45055</v>
      </c>
      <c r="B24" s="103">
        <f t="shared" si="0"/>
        <v>19</v>
      </c>
      <c r="C24" s="110" t="s">
        <v>31</v>
      </c>
      <c r="D24" s="94">
        <v>8.3333333333333329E-2</v>
      </c>
      <c r="E24" s="92" t="s">
        <v>67</v>
      </c>
    </row>
    <row r="25" spans="1:5" ht="30" x14ac:dyDescent="0.25">
      <c r="A25" s="90">
        <v>45055</v>
      </c>
      <c r="B25" s="103">
        <f t="shared" si="0"/>
        <v>19</v>
      </c>
      <c r="C25" s="110" t="s">
        <v>42</v>
      </c>
      <c r="D25" s="94">
        <v>4.1666666666666664E-2</v>
      </c>
      <c r="E25" s="92" t="s">
        <v>68</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71</v>
      </c>
    </row>
    <row r="28" spans="1:5" ht="30" x14ac:dyDescent="0.25">
      <c r="A28" s="90">
        <v>45056</v>
      </c>
      <c r="B28" s="103">
        <f t="shared" si="0"/>
        <v>19</v>
      </c>
      <c r="C28" s="110" t="s">
        <v>40</v>
      </c>
      <c r="D28" s="94">
        <v>2.0833333333333332E-2</v>
      </c>
      <c r="E28" s="92" t="s">
        <v>101</v>
      </c>
    </row>
    <row r="29" spans="1:5" x14ac:dyDescent="0.25">
      <c r="A29" s="90">
        <v>45056</v>
      </c>
      <c r="B29" s="103">
        <f t="shared" si="0"/>
        <v>19</v>
      </c>
      <c r="C29" s="110" t="s">
        <v>29</v>
      </c>
      <c r="D29" s="94">
        <v>2.0833333333333332E-2</v>
      </c>
      <c r="E29" s="92" t="s">
        <v>69</v>
      </c>
    </row>
    <row r="30" spans="1:5" ht="30" x14ac:dyDescent="0.25">
      <c r="A30" s="91">
        <v>45056</v>
      </c>
      <c r="B30" s="104">
        <f t="shared" si="0"/>
        <v>19</v>
      </c>
      <c r="C30" s="106" t="s">
        <v>30</v>
      </c>
      <c r="D30" s="95">
        <v>4.1666666666666664E-2</v>
      </c>
      <c r="E30" s="93" t="s">
        <v>70</v>
      </c>
    </row>
    <row r="31" spans="1:5" x14ac:dyDescent="0.25">
      <c r="A31" s="91">
        <v>45057</v>
      </c>
      <c r="B31" s="104">
        <f t="shared" si="0"/>
        <v>19</v>
      </c>
      <c r="C31" s="106" t="s">
        <v>72</v>
      </c>
      <c r="D31" s="95">
        <v>8.3333333333333329E-2</v>
      </c>
      <c r="E31" s="93"/>
    </row>
    <row r="32" spans="1:5" ht="30" x14ac:dyDescent="0.25">
      <c r="A32" s="91">
        <v>45057</v>
      </c>
      <c r="B32" s="104">
        <f t="shared" si="0"/>
        <v>19</v>
      </c>
      <c r="C32" s="106" t="s">
        <v>42</v>
      </c>
      <c r="D32" s="95">
        <v>4.1666666666666664E-2</v>
      </c>
      <c r="E32" s="93" t="s">
        <v>73</v>
      </c>
    </row>
    <row r="33" spans="1:5" ht="30" x14ac:dyDescent="0.25">
      <c r="A33" s="91">
        <v>45057</v>
      </c>
      <c r="B33" s="104">
        <f t="shared" si="0"/>
        <v>19</v>
      </c>
      <c r="C33" s="106" t="s">
        <v>46</v>
      </c>
      <c r="D33" s="95">
        <v>4.1666666666666664E-2</v>
      </c>
      <c r="E33" s="93" t="s">
        <v>74</v>
      </c>
    </row>
    <row r="34" spans="1:5" x14ac:dyDescent="0.25">
      <c r="A34" s="91">
        <v>45057</v>
      </c>
      <c r="B34" s="104">
        <f t="shared" si="0"/>
        <v>19</v>
      </c>
      <c r="C34" s="106" t="s">
        <v>46</v>
      </c>
      <c r="D34" s="95">
        <v>4.1666666666666664E-2</v>
      </c>
      <c r="E34" s="93" t="s">
        <v>75</v>
      </c>
    </row>
    <row r="35" spans="1:5" x14ac:dyDescent="0.25">
      <c r="A35" s="91">
        <v>45057</v>
      </c>
      <c r="B35" s="104">
        <f t="shared" si="0"/>
        <v>19</v>
      </c>
      <c r="C35" s="106" t="s">
        <v>42</v>
      </c>
      <c r="D35" s="95">
        <v>8.3333333333333329E-2</v>
      </c>
      <c r="E35" s="93" t="s">
        <v>76</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100</v>
      </c>
    </row>
    <row r="38" spans="1:5" ht="30" x14ac:dyDescent="0.25">
      <c r="A38" s="91">
        <v>45061</v>
      </c>
      <c r="B38" s="104">
        <f t="shared" si="0"/>
        <v>20</v>
      </c>
      <c r="C38" s="106" t="s">
        <v>40</v>
      </c>
      <c r="D38" s="95">
        <v>1.0416666666666666E-2</v>
      </c>
      <c r="E38" s="93" t="s">
        <v>77</v>
      </c>
    </row>
    <row r="39" spans="1:5" x14ac:dyDescent="0.25">
      <c r="A39" s="91">
        <v>45061</v>
      </c>
      <c r="B39" s="104">
        <f t="shared" si="0"/>
        <v>20</v>
      </c>
      <c r="C39" s="106" t="s">
        <v>42</v>
      </c>
      <c r="D39" s="95">
        <v>5.9027777777777783E-2</v>
      </c>
      <c r="E39" s="93" t="s">
        <v>58</v>
      </c>
    </row>
    <row r="40" spans="1:5" ht="45" x14ac:dyDescent="0.25">
      <c r="A40" s="91">
        <v>45061</v>
      </c>
      <c r="B40" s="104">
        <f t="shared" si="0"/>
        <v>20</v>
      </c>
      <c r="C40" s="106" t="s">
        <v>30</v>
      </c>
      <c r="D40" s="95">
        <v>4.1666666666666664E-2</v>
      </c>
      <c r="E40" s="93" t="s">
        <v>78</v>
      </c>
    </row>
    <row r="41" spans="1:5" ht="30" x14ac:dyDescent="0.25">
      <c r="A41" s="91">
        <v>45061</v>
      </c>
      <c r="B41" s="104">
        <f t="shared" si="0"/>
        <v>20</v>
      </c>
      <c r="C41" s="106" t="s">
        <v>40</v>
      </c>
      <c r="D41" s="95">
        <v>6.9444444444444441E-3</v>
      </c>
      <c r="E41" s="93" t="s">
        <v>87</v>
      </c>
    </row>
    <row r="42" spans="1:5" ht="30" x14ac:dyDescent="0.25">
      <c r="A42" s="91">
        <v>45061</v>
      </c>
      <c r="B42" s="104">
        <f t="shared" si="0"/>
        <v>20</v>
      </c>
      <c r="C42" s="106" t="s">
        <v>36</v>
      </c>
      <c r="D42" s="95">
        <v>8.3333333333333329E-2</v>
      </c>
      <c r="E42" s="93" t="s">
        <v>79</v>
      </c>
    </row>
    <row r="43" spans="1:5" x14ac:dyDescent="0.25">
      <c r="A43" s="91">
        <v>45062</v>
      </c>
      <c r="B43" s="104">
        <f t="shared" si="0"/>
        <v>20</v>
      </c>
      <c r="C43" s="106" t="s">
        <v>80</v>
      </c>
      <c r="D43" s="95">
        <v>2.0833333333333332E-2</v>
      </c>
      <c r="E43" s="93"/>
    </row>
    <row r="44" spans="1:5" ht="75" x14ac:dyDescent="0.25">
      <c r="A44" s="91">
        <v>45062</v>
      </c>
      <c r="B44" s="104">
        <f t="shared" si="0"/>
        <v>20</v>
      </c>
      <c r="C44" s="106" t="s">
        <v>36</v>
      </c>
      <c r="D44" s="95">
        <v>0.14583333333333334</v>
      </c>
      <c r="E44" s="93" t="s">
        <v>99</v>
      </c>
    </row>
    <row r="45" spans="1:5" ht="30" x14ac:dyDescent="0.25">
      <c r="A45" s="91">
        <v>45062</v>
      </c>
      <c r="B45" s="104">
        <f t="shared" si="0"/>
        <v>20</v>
      </c>
      <c r="C45" s="106" t="s">
        <v>36</v>
      </c>
      <c r="D45" s="95">
        <v>2.0833333333333332E-2</v>
      </c>
      <c r="E45" s="93" t="s">
        <v>98</v>
      </c>
    </row>
    <row r="46" spans="1:5" x14ac:dyDescent="0.25">
      <c r="A46" s="91">
        <v>45062</v>
      </c>
      <c r="B46" s="104">
        <f t="shared" si="0"/>
        <v>20</v>
      </c>
      <c r="C46" s="106" t="s">
        <v>40</v>
      </c>
      <c r="D46" s="95">
        <v>2.0833333333333332E-2</v>
      </c>
      <c r="E46" s="93" t="s">
        <v>81</v>
      </c>
    </row>
    <row r="47" spans="1:5" x14ac:dyDescent="0.25">
      <c r="A47" s="91">
        <v>45062</v>
      </c>
      <c r="B47" s="104">
        <f t="shared" si="0"/>
        <v>20</v>
      </c>
      <c r="C47" s="106" t="s">
        <v>42</v>
      </c>
      <c r="D47" s="95">
        <v>8.3333333333333329E-2</v>
      </c>
      <c r="E47" s="93" t="s">
        <v>76</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82</v>
      </c>
    </row>
    <row r="50" spans="1:5" ht="30" x14ac:dyDescent="0.25">
      <c r="A50" s="91">
        <v>45063</v>
      </c>
      <c r="B50" s="104">
        <f t="shared" si="0"/>
        <v>20</v>
      </c>
      <c r="C50" s="106" t="s">
        <v>29</v>
      </c>
      <c r="D50" s="95">
        <v>8.3333333333333329E-2</v>
      </c>
      <c r="E50" s="93" t="s">
        <v>97</v>
      </c>
    </row>
    <row r="51" spans="1:5" x14ac:dyDescent="0.25">
      <c r="A51" s="91">
        <v>45063</v>
      </c>
      <c r="B51" s="104">
        <f t="shared" si="0"/>
        <v>20</v>
      </c>
      <c r="C51" s="106" t="s">
        <v>42</v>
      </c>
      <c r="D51" s="95">
        <v>3.125E-2</v>
      </c>
      <c r="E51" s="93" t="s">
        <v>76</v>
      </c>
    </row>
    <row r="52" spans="1:5" ht="60" x14ac:dyDescent="0.25">
      <c r="A52" s="91">
        <v>45063</v>
      </c>
      <c r="B52" s="104">
        <f t="shared" si="0"/>
        <v>20</v>
      </c>
      <c r="C52" s="106" t="s">
        <v>47</v>
      </c>
      <c r="D52" s="95">
        <v>1.0416666666666666E-2</v>
      </c>
      <c r="E52" s="93" t="s">
        <v>96</v>
      </c>
    </row>
    <row r="53" spans="1:5" x14ac:dyDescent="0.25">
      <c r="A53" s="91">
        <v>45068</v>
      </c>
      <c r="B53" s="104">
        <f t="shared" si="0"/>
        <v>21</v>
      </c>
      <c r="C53" s="106" t="s">
        <v>38</v>
      </c>
      <c r="D53" s="95">
        <v>0.10069444444444443</v>
      </c>
      <c r="E53" s="93" t="s">
        <v>83</v>
      </c>
    </row>
    <row r="54" spans="1:5" ht="30" x14ac:dyDescent="0.25">
      <c r="A54" s="91">
        <v>45068</v>
      </c>
      <c r="B54" s="104">
        <f t="shared" si="0"/>
        <v>21</v>
      </c>
      <c r="C54" s="106" t="s">
        <v>38</v>
      </c>
      <c r="D54" s="95">
        <v>0.13194444444444445</v>
      </c>
      <c r="E54" s="93" t="s">
        <v>95</v>
      </c>
    </row>
    <row r="55" spans="1:5" x14ac:dyDescent="0.25">
      <c r="A55" s="91">
        <v>45069</v>
      </c>
      <c r="B55" s="104">
        <f t="shared" si="0"/>
        <v>21</v>
      </c>
      <c r="C55" s="106" t="s">
        <v>49</v>
      </c>
      <c r="D55" s="95">
        <v>4.1666666666666664E-2</v>
      </c>
      <c r="E55" s="93" t="s">
        <v>84</v>
      </c>
    </row>
    <row r="56" spans="1:5" ht="30" x14ac:dyDescent="0.25">
      <c r="A56" s="91">
        <v>45069</v>
      </c>
      <c r="B56" s="104">
        <f t="shared" si="0"/>
        <v>21</v>
      </c>
      <c r="C56" s="106" t="s">
        <v>39</v>
      </c>
      <c r="D56" s="95">
        <v>0.125</v>
      </c>
      <c r="E56" s="93" t="s">
        <v>85</v>
      </c>
    </row>
    <row r="57" spans="1:5" ht="30" x14ac:dyDescent="0.25">
      <c r="A57" s="91">
        <v>45069</v>
      </c>
      <c r="B57" s="104">
        <f t="shared" si="0"/>
        <v>21</v>
      </c>
      <c r="C57" s="106" t="s">
        <v>39</v>
      </c>
      <c r="D57" s="95">
        <v>4.1666666666666664E-2</v>
      </c>
      <c r="E57" s="93" t="s">
        <v>86</v>
      </c>
    </row>
    <row r="58" spans="1:5" ht="30" x14ac:dyDescent="0.25">
      <c r="A58" s="91">
        <v>45069</v>
      </c>
      <c r="B58" s="104">
        <f t="shared" si="0"/>
        <v>21</v>
      </c>
      <c r="C58" s="106" t="s">
        <v>40</v>
      </c>
      <c r="D58" s="95">
        <v>2.0833333333333332E-2</v>
      </c>
      <c r="E58" s="112" t="s">
        <v>88</v>
      </c>
    </row>
    <row r="59" spans="1:5" ht="30" x14ac:dyDescent="0.25">
      <c r="A59" s="91">
        <v>45069</v>
      </c>
      <c r="B59" s="104">
        <f>WEEKNUM(A59,1)</f>
        <v>21</v>
      </c>
      <c r="C59" s="106" t="s">
        <v>41</v>
      </c>
      <c r="D59" s="95">
        <v>2.0833333333333332E-2</v>
      </c>
      <c r="E59" s="112" t="s">
        <v>89</v>
      </c>
    </row>
    <row r="60" spans="1:5" x14ac:dyDescent="0.25">
      <c r="A60" s="91">
        <v>45069</v>
      </c>
      <c r="B60" s="104">
        <f>WEEKNUM(A60,1)</f>
        <v>21</v>
      </c>
      <c r="C60" s="106" t="s">
        <v>42</v>
      </c>
      <c r="D60" s="95">
        <v>4.1666666666666664E-2</v>
      </c>
      <c r="E60" s="93" t="s">
        <v>76</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94</v>
      </c>
    </row>
    <row r="63" spans="1:5" x14ac:dyDescent="0.25">
      <c r="A63" s="91">
        <v>45070</v>
      </c>
      <c r="B63" s="104">
        <f t="shared" si="0"/>
        <v>21</v>
      </c>
      <c r="C63" s="106" t="s">
        <v>42</v>
      </c>
      <c r="D63" s="95">
        <v>8.3333333333333329E-2</v>
      </c>
      <c r="E63" s="93" t="s">
        <v>92</v>
      </c>
    </row>
    <row r="64" spans="1:5" x14ac:dyDescent="0.25">
      <c r="A64" s="91">
        <v>45071</v>
      </c>
      <c r="B64" s="104">
        <f t="shared" si="0"/>
        <v>21</v>
      </c>
      <c r="C64" s="106" t="s">
        <v>49</v>
      </c>
      <c r="D64" s="95">
        <v>4.1666666666666664E-2</v>
      </c>
      <c r="E64" s="93" t="s">
        <v>91</v>
      </c>
    </row>
    <row r="65" spans="1:5" ht="30" x14ac:dyDescent="0.25">
      <c r="A65" s="91">
        <v>45071</v>
      </c>
      <c r="B65" s="104">
        <f t="shared" si="0"/>
        <v>21</v>
      </c>
      <c r="C65" s="106" t="s">
        <v>42</v>
      </c>
      <c r="D65" s="95">
        <v>0.125</v>
      </c>
      <c r="E65" s="93" t="s">
        <v>90</v>
      </c>
    </row>
    <row r="66" spans="1:5" x14ac:dyDescent="0.25">
      <c r="A66" s="91">
        <v>45071</v>
      </c>
      <c r="B66" s="104">
        <f t="shared" si="0"/>
        <v>21</v>
      </c>
      <c r="C66" s="106" t="s">
        <v>49</v>
      </c>
      <c r="D66" s="95">
        <v>8.3333333333333329E-2</v>
      </c>
      <c r="E66" s="93" t="s">
        <v>91</v>
      </c>
    </row>
    <row r="67" spans="1:5" x14ac:dyDescent="0.25">
      <c r="A67" s="91">
        <v>45071</v>
      </c>
      <c r="B67" s="104">
        <f t="shared" si="0"/>
        <v>21</v>
      </c>
      <c r="C67" s="106" t="s">
        <v>42</v>
      </c>
      <c r="D67" s="95">
        <v>4.1666666666666664E-2</v>
      </c>
      <c r="E67" s="93" t="s">
        <v>76</v>
      </c>
    </row>
    <row r="68" spans="1:5" x14ac:dyDescent="0.25">
      <c r="A68" s="91">
        <v>45071</v>
      </c>
      <c r="B68" s="104">
        <f t="shared" si="0"/>
        <v>21</v>
      </c>
      <c r="C68" s="106" t="s">
        <v>47</v>
      </c>
      <c r="D68" s="95">
        <v>6.9444444444444441E-3</v>
      </c>
      <c r="E68" s="93"/>
    </row>
    <row r="69" spans="1:5" x14ac:dyDescent="0.25">
      <c r="A69" s="91">
        <v>45076</v>
      </c>
      <c r="B69" s="104">
        <f t="shared" si="0"/>
        <v>22</v>
      </c>
      <c r="C69" s="106" t="s">
        <v>42</v>
      </c>
      <c r="D69" s="95">
        <v>0.16666666666666666</v>
      </c>
      <c r="E69" s="93"/>
    </row>
    <row r="70" spans="1:5" ht="60" x14ac:dyDescent="0.25">
      <c r="A70" s="91">
        <v>45076</v>
      </c>
      <c r="B70" s="104">
        <f t="shared" si="0"/>
        <v>22</v>
      </c>
      <c r="C70" s="106" t="s">
        <v>56</v>
      </c>
      <c r="D70" s="95">
        <v>0.12847222222222224</v>
      </c>
      <c r="E70" s="93" t="s">
        <v>93</v>
      </c>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2023-05-30T13:40:00Z</dcterms:modified>
</cp:coreProperties>
</file>