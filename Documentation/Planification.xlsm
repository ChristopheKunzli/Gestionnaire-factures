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AD14D6A1-A2D1-4766-B6E2-2BE34806A6B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2">Journal!$A$1:$E$26</definedName>
    <definedName name="_xlnm.Print_Area" localSheetId="1">Planning!$A$1:$U$75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C71" i="1" l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11" i="1" l="1"/>
  <c r="H57" i="1"/>
  <c r="H17" i="1"/>
  <c r="H67" i="1"/>
  <c r="H2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H13" i="1" l="1"/>
  <c r="H19" i="1"/>
  <c r="H61" i="1"/>
  <c r="H39" i="1"/>
  <c r="H45" i="1"/>
  <c r="H43" i="1"/>
  <c r="H53" i="1"/>
  <c r="H47" i="1"/>
  <c r="H27" i="1"/>
  <c r="H69" i="1"/>
  <c r="H31" i="1"/>
  <c r="H59" i="1"/>
  <c r="H71" i="1"/>
  <c r="H73" i="1"/>
  <c r="F37" i="1"/>
  <c r="D17" i="1"/>
  <c r="F9" i="1"/>
  <c r="F61" i="1"/>
  <c r="H75" i="1"/>
  <c r="H55" i="1"/>
  <c r="H33" i="1"/>
  <c r="H25" i="1"/>
  <c r="D45" i="1"/>
  <c r="F11" i="1"/>
  <c r="D43" i="1"/>
  <c r="F17" i="1"/>
  <c r="D67" i="1"/>
  <c r="D11" i="1"/>
  <c r="F39" i="1"/>
  <c r="D41" i="1"/>
  <c r="D71" i="1"/>
  <c r="D55" i="1"/>
  <c r="D73" i="1"/>
  <c r="D57" i="1"/>
  <c r="D19" i="1"/>
  <c r="D65" i="1"/>
  <c r="D31" i="1"/>
  <c r="F75" i="1"/>
  <c r="D69" i="1"/>
  <c r="F53" i="1"/>
  <c r="D39" i="1"/>
  <c r="D53" i="1"/>
  <c r="D59" i="1"/>
  <c r="F41" i="1"/>
  <c r="F57" i="1"/>
  <c r="F71" i="1"/>
  <c r="D33" i="1"/>
  <c r="F73" i="1"/>
  <c r="D61" i="1"/>
  <c r="D47" i="1"/>
  <c r="N37" i="1"/>
  <c r="P37" i="1"/>
  <c r="D9" i="1"/>
  <c r="F47" i="1"/>
  <c r="H41" i="1"/>
  <c r="F25" i="1"/>
  <c r="F45" i="1"/>
  <c r="F67" i="1"/>
  <c r="D29" i="1"/>
  <c r="F55" i="1"/>
  <c r="N23" i="1"/>
  <c r="P23" i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L37" i="1"/>
  <c r="H23" i="1"/>
  <c r="H37" i="1"/>
  <c r="J51" i="1"/>
  <c r="L9" i="1"/>
  <c r="L51" i="1"/>
  <c r="D23" i="1"/>
  <c r="H9" i="1"/>
  <c r="D37" i="1"/>
  <c r="J9" i="1"/>
  <c r="J37" i="1"/>
  <c r="N4" i="1" l="1"/>
  <c r="P4" i="1"/>
  <c r="D4" i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<sst xmlns="http://schemas.openxmlformats.org/spreadsheetml/2006/main" count="117" uniqueCount="82">
  <si>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</si>
  <si>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</si>
  <si>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</si>
  <si>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</si>
  <si>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</si>
  <si>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</si>
  <si>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</si>
  <si>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</si>
  <si>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</si>
  <si>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</si>
  <si>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</si>
  <si>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</si>
  <si>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</si>
  <si>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</si>
  <si>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</si>
  <si>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</si>
  <si>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</si>
  <si>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</si>
  <si>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</si>
  <si>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</si>
  <si>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</si>
  <si>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</si>
  <si>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</si>
  <si>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</si>
  <si>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</si>
  <si>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</si>
  <si>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</si>
  <si>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</si>
  <si>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</si>
  <si>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</si>
  <si>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</si>
  <si>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</si>
  <si>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</si>
  <si>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</si>
  <si>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</si>
  <si>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</si>
  <si>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</si>
  <si>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</si>
  <si>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</si>
  <si>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</si>
  <si>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</si>
  <si>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</si>
  <si>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</si>
  <si>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</si>
  <si>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</si>
  <si>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</si>
  <si>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</si>
  <si>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</si>
  <si>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</si>
  <si>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</si>
  <si>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</si>
  <si>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</si>
  <si>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</si>
  <si>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</si>
  <si>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</si>
  <si>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</si>
  <si>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</si>
  <si>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</si>
  <si>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</si>
  <si>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</si>
  <si>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</si>
  <si>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</si>
  <si>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Mise à jour de la documentation</t>
  </si>
  <si>
    <t>J'ai rajouté un champ pour indique si l'utilisateur a déjà changé de mot de passe</t>
  </si>
  <si>
    <t>Mise à jour du MLD pour inclure le changement du MCD</t>
  </si>
  <si>
    <t>Mise à jour du script pour inclure le changement</t>
  </si>
  <si>
    <t>Pas encore terminé, je les finirais lundi prochain</t>
  </si>
  <si>
    <t>55 - Absences</t>
  </si>
  <si>
    <t>Absence pour cause de maladie</t>
  </si>
  <si>
    <t>Terminé</t>
  </si>
  <si>
    <t>Il manque encore la maquette du formulaire affichant les factures et les statistiques</t>
  </si>
  <si>
    <t>Fini les maquettes</t>
  </si>
  <si>
    <t xml:space="preserve">Ajouter le travail effectué en début de semaine au rapport avant le rendu </t>
  </si>
  <si>
    <t>Test des fonctionnalités de login et de changements du mot passe lors dela 1ère connexion</t>
  </si>
  <si>
    <t>J'ai rédigé des tests unitaires sur la classe User</t>
  </si>
  <si>
    <t>J'ai rajouté le menu de sélection pour les utilisateurs qui possède les droits administrateur</t>
  </si>
  <si>
    <t>L'implémentation du login a duré beaucoup moins longtemps que prévu</t>
  </si>
  <si>
    <t>26 - Rédiger diagramme de classe</t>
  </si>
  <si>
    <t>Je suis repassé sur toute ma documentation pour trouver et corriger des éventuels erreurs</t>
  </si>
  <si>
    <t>J'ai cherché sur internet comment imprimer des fichiers pdf.</t>
  </si>
  <si>
    <t>Continuation des recherches du matin</t>
  </si>
  <si>
    <t>Préparation de la documentation avant rendu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</si>
</sst>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workbookViewId="0">
      <selection activeCell="G15" sqref="G15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54</v>
      </c>
      <c r="B4" s="24">
        <v>45048</v>
      </c>
      <c r="C4" s="25"/>
      <c r="D4" s="26"/>
      <c r="E4" s="17"/>
      <c r="F4" s="21" t="s">
        <v>20</v>
      </c>
      <c r="G4" s="27" t="s">
        <v>44</v>
      </c>
      <c r="H4" s="17"/>
    </row>
    <row r="5" spans="1:8" x14ac:dyDescent="0.25">
      <c r="A5" s="22"/>
      <c r="B5" s="17"/>
      <c r="C5" s="25" t="s">
        <v>23</v>
      </c>
      <c r="D5" s="26" t="s">
        <v>24</v>
      </c>
      <c r="E5" s="17"/>
      <c r="F5" s="15"/>
      <c r="G5" s="28" t="s">
        <v>45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46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47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19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18</v>
      </c>
      <c r="H9" s="17"/>
    </row>
    <row r="10" spans="1:8" x14ac:dyDescent="0.25">
      <c r="A10" s="17"/>
      <c r="B10" s="17"/>
      <c r="C10" s="17"/>
      <c r="D10" s="17"/>
      <c r="E10" s="17"/>
      <c r="F10" s="21" t="s">
        <v>25</v>
      </c>
      <c r="G10" s="21" t="s">
        <v>36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35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34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33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32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77</v>
      </c>
      <c r="H15" s="17"/>
    </row>
    <row r="16" spans="1:8" x14ac:dyDescent="0.25">
      <c r="A16" s="17"/>
      <c r="B16" s="17"/>
      <c r="C16" s="17"/>
      <c r="D16" s="17"/>
      <c r="E16" s="17"/>
      <c r="F16" s="107" t="s">
        <v>26</v>
      </c>
      <c r="G16" s="27" t="s">
        <v>31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37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38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39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40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50</v>
      </c>
      <c r="H21" s="17"/>
    </row>
    <row r="22" spans="1:8" x14ac:dyDescent="0.25">
      <c r="A22" s="17"/>
      <c r="B22" s="17"/>
      <c r="C22" s="17"/>
      <c r="D22" s="17"/>
      <c r="E22" s="17"/>
      <c r="F22" s="21" t="s">
        <v>21</v>
      </c>
      <c r="G22" s="21" t="s">
        <v>29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41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42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27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28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17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43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48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49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59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67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30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B28" zoomScale="70" zoomScaleNormal="70" zoomScalePageLayoutView="70" workbookViewId="0">
      <selection activeCell="B1" sqref="B1:U75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22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1.7604166666666667</v>
      </c>
      <c r="C4" s="33"/>
      <c r="D4" s="4">
        <f>SUMIF($C$8:$C$9978,$C9,D$8:D$9978)</f>
        <v>0.76388888888888895</v>
      </c>
      <c r="E4" s="2"/>
      <c r="F4" s="4">
        <f>SUMIF($C$8:$C$9978,$C9,F$8:F$9978)</f>
        <v>0.99652777777777779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0.4236111111111111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8.3333333333333329E-2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0.125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0.72569444444444453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6.9444444444444448E-2</v>
      </c>
      <c r="E23" s="63"/>
      <c r="F23" s="62">
        <v>3.472222222222222E-3</v>
      </c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7.2916666666666671E-2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5.9027777777777776E-2</v>
      </c>
      <c r="E25" s="63"/>
      <c r="F25" s="62">
        <f>SUMIFS(Journal!$D$4:$D$10001,Journal!$B$4:$B$10001,F$5,Journal!$C$4:$C$10001,$B24)</f>
        <v>3.472222222222222E-3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6.25E-2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3.472222222222222E-3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6.9444444444444441E-3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0.15972222222222224</v>
      </c>
      <c r="E29" s="63"/>
      <c r="F29" s="62">
        <f>SUMIFS(Journal!$D$4:$D$10001,Journal!$B$4:$B$10001,F$5,Journal!$C$4:$C$10001,$B28)</f>
        <v>0.1736111111111111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>
        <f t="shared" si="1"/>
        <v>0.33333333333333337</v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0.16666666666666666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>
        <f t="shared" si="1"/>
        <v>0.16666666666666666</v>
      </c>
    </row>
    <row r="32" spans="1:21" ht="15" customHeight="1" x14ac:dyDescent="0.25">
      <c r="B32" s="9" t="str">
        <f>Base!G15</f>
        <v>26 - Rédiger diagramme de classe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8.3333333333333329E-2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>
        <f t="shared" si="1"/>
        <v>8.3333333333333329E-2</v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0.125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0.125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>
        <f t="shared" si="2"/>
        <v>0.125</v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4.1666666666666664E-2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2.0833333333333332E-2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>
        <f t="shared" si="3"/>
        <v>2.0833333333333332E-2</v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2.0833333333333332E-2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>
        <f t="shared" si="3"/>
        <v>2.0833333333333332E-2</v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0.44444444444444442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0.1111111111111111</v>
      </c>
      <c r="E65" s="63"/>
      <c r="F65" s="62">
        <f>SUMIFS(Journal!$D$4:$D$10001,Journal!$B$4:$B$10001,F$5,Journal!$C$4:$C$10001,$B64)</f>
        <v>0.16666666666666666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>
        <f>IF(SUM(D65:T65)=0,"",SUM(D65:T65))</f>
        <v>0.27777777777777779</v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2.0833333333333332E-2</v>
      </c>
      <c r="E67" s="63"/>
      <c r="F67" s="62">
        <f>SUMIFS(Journal!$D$4:$D$10001,Journal!$B$4:$B$10001,F$5,Journal!$C$4:$C$10001,$B66)</f>
        <v>1.3888888888888888E-2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>
        <f t="shared" ref="U67:U75" si="4">IF(SUM(D67:T67)=0,"",SUM(D67:T67))</f>
        <v>3.4722222222222224E-2</v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 Absences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0.13194444444444445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>
        <f t="shared" si="4"/>
        <v>0.13194444444444445</v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60" fitToHeight="0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28" activePane="bottomLeft" state="frozen"/>
      <selection activeCell="B78" sqref="B78"/>
      <selection pane="bottomLeft" sqref="A1:E36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45057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44</v>
      </c>
      <c r="D4" s="96">
        <v>6.25E-2</v>
      </c>
      <c r="E4" s="94" t="s">
        <v>51</v>
      </c>
    </row>
    <row r="5" spans="1:5" ht="30" x14ac:dyDescent="0.25">
      <c r="A5" s="92">
        <v>45048</v>
      </c>
      <c r="B5" s="105">
        <f>WEEKNUM(A5,1)</f>
        <v>18</v>
      </c>
      <c r="C5" s="7" t="s">
        <v>45</v>
      </c>
      <c r="D5" s="96">
        <v>0.125</v>
      </c>
      <c r="E5" s="94" t="s">
        <v>52</v>
      </c>
    </row>
    <row r="6" spans="1:5" ht="30" x14ac:dyDescent="0.25">
      <c r="A6" s="92">
        <v>45048</v>
      </c>
      <c r="B6" s="105">
        <f>WEEKNUM(A6,1)</f>
        <v>18</v>
      </c>
      <c r="C6" s="7" t="s">
        <v>46</v>
      </c>
      <c r="D6" s="96">
        <v>0.1111111111111111</v>
      </c>
      <c r="E6" s="94" t="s">
        <v>53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36</v>
      </c>
      <c r="D7" s="96">
        <v>4.8611111111111112E-2</v>
      </c>
      <c r="E7" s="94" t="s">
        <v>55</v>
      </c>
    </row>
    <row r="8" spans="1:5" x14ac:dyDescent="0.25">
      <c r="A8" s="92">
        <v>45049</v>
      </c>
      <c r="B8" s="105">
        <f t="shared" si="0"/>
        <v>18</v>
      </c>
      <c r="C8" s="7" t="s">
        <v>35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36</v>
      </c>
      <c r="D9" s="96">
        <v>6.9444444444444441E-3</v>
      </c>
      <c r="E9" s="94" t="s">
        <v>56</v>
      </c>
    </row>
    <row r="10" spans="1:5" ht="45" x14ac:dyDescent="0.25">
      <c r="A10" s="92">
        <v>45049</v>
      </c>
      <c r="B10" s="105">
        <f t="shared" si="0"/>
        <v>18</v>
      </c>
      <c r="C10" s="7" t="s">
        <v>47</v>
      </c>
      <c r="D10" s="96">
        <v>4.1666666666666664E-2</v>
      </c>
      <c r="E10" s="94" t="s">
        <v>57</v>
      </c>
    </row>
    <row r="11" spans="1:5" x14ac:dyDescent="0.25">
      <c r="A11" s="92">
        <v>45049</v>
      </c>
      <c r="B11" s="105">
        <f t="shared" si="0"/>
        <v>18</v>
      </c>
      <c r="C11" s="7" t="s">
        <v>34</v>
      </c>
      <c r="D11" s="96">
        <v>3.472222222222222E-3</v>
      </c>
      <c r="E11" s="94" t="s">
        <v>58</v>
      </c>
    </row>
    <row r="12" spans="1:5" ht="30" x14ac:dyDescent="0.25">
      <c r="A12" s="92">
        <v>45050</v>
      </c>
      <c r="B12" s="105">
        <f>WEEKNUM(A12,1)</f>
        <v>18</v>
      </c>
      <c r="C12" s="7" t="s">
        <v>36</v>
      </c>
      <c r="D12" s="96">
        <v>1.3888888888888888E-2</v>
      </c>
      <c r="E12" s="94" t="s">
        <v>60</v>
      </c>
    </row>
    <row r="13" spans="1:5" x14ac:dyDescent="0.25">
      <c r="A13" s="92">
        <v>45050</v>
      </c>
      <c r="B13" s="105">
        <f t="shared" ref="B13:B15" si="1">WEEKNUM(A13,1)</f>
        <v>18</v>
      </c>
      <c r="C13" s="7" t="s">
        <v>35</v>
      </c>
      <c r="D13" s="96">
        <v>6.9444444444444441E-3</v>
      </c>
      <c r="E13" s="94" t="s">
        <v>61</v>
      </c>
    </row>
    <row r="14" spans="1:5" x14ac:dyDescent="0.25">
      <c r="A14" s="92">
        <v>45050</v>
      </c>
      <c r="B14" s="105">
        <f t="shared" si="1"/>
        <v>18</v>
      </c>
      <c r="C14" s="7" t="s">
        <v>33</v>
      </c>
      <c r="D14" s="96">
        <v>0.15972222222222224</v>
      </c>
      <c r="E14" s="94" t="s">
        <v>66</v>
      </c>
    </row>
    <row r="15" spans="1:5" x14ac:dyDescent="0.25">
      <c r="A15" s="92">
        <v>45050</v>
      </c>
      <c r="B15" s="105">
        <f t="shared" si="1"/>
        <v>18</v>
      </c>
      <c r="C15" s="7" t="s">
        <v>43</v>
      </c>
      <c r="D15" s="96">
        <v>0.1111111111111111</v>
      </c>
      <c r="E15" s="94" t="s">
        <v>62</v>
      </c>
    </row>
    <row r="16" spans="1:5" x14ac:dyDescent="0.25">
      <c r="A16" s="92">
        <v>45050</v>
      </c>
      <c r="B16" s="105">
        <f t="shared" si="0"/>
        <v>18</v>
      </c>
      <c r="C16" s="7" t="s">
        <v>48</v>
      </c>
      <c r="D16" s="96">
        <v>2.0833333333333332E-2</v>
      </c>
      <c r="E16" s="94"/>
    </row>
    <row r="17" spans="1:5" ht="30" x14ac:dyDescent="0.25">
      <c r="A17" s="92">
        <v>45054</v>
      </c>
      <c r="B17" s="105">
        <f t="shared" si="0"/>
        <v>19</v>
      </c>
      <c r="C17" s="7" t="s">
        <v>36</v>
      </c>
      <c r="D17" s="96">
        <v>3.472222222222222E-3</v>
      </c>
      <c r="E17" s="94" t="s">
        <v>63</v>
      </c>
    </row>
    <row r="18" spans="1:5" ht="30" x14ac:dyDescent="0.25">
      <c r="A18" s="92">
        <v>45054</v>
      </c>
      <c r="B18" s="105">
        <f t="shared" si="0"/>
        <v>19</v>
      </c>
      <c r="C18" s="7" t="s">
        <v>35</v>
      </c>
      <c r="D18" s="96">
        <v>3.472222222222222E-3</v>
      </c>
      <c r="E18" s="94" t="s">
        <v>64</v>
      </c>
    </row>
    <row r="19" spans="1:5" ht="16.5" customHeight="1" x14ac:dyDescent="0.25">
      <c r="A19" s="92">
        <v>45054</v>
      </c>
      <c r="B19" s="105">
        <f t="shared" si="0"/>
        <v>19</v>
      </c>
      <c r="C19" s="7" t="s">
        <v>34</v>
      </c>
      <c r="D19" s="96">
        <v>3.472222222222222E-3</v>
      </c>
      <c r="E19" s="94" t="s">
        <v>65</v>
      </c>
    </row>
    <row r="20" spans="1:5" x14ac:dyDescent="0.25">
      <c r="A20" s="92">
        <v>45054</v>
      </c>
      <c r="B20" s="105">
        <f t="shared" si="0"/>
        <v>19</v>
      </c>
      <c r="C20" s="7" t="s">
        <v>33</v>
      </c>
      <c r="D20" s="96">
        <v>9.0277777777777776E-2</v>
      </c>
      <c r="E20" s="94"/>
    </row>
    <row r="21" spans="1:5" x14ac:dyDescent="0.25">
      <c r="A21" s="92">
        <v>45054</v>
      </c>
      <c r="B21" s="105">
        <f t="shared" si="0"/>
        <v>19</v>
      </c>
      <c r="C21" s="7" t="s">
        <v>67</v>
      </c>
      <c r="D21" s="96">
        <v>0.13194444444444445</v>
      </c>
      <c r="E21" s="94" t="s">
        <v>68</v>
      </c>
    </row>
    <row r="22" spans="1:5" x14ac:dyDescent="0.25">
      <c r="A22" s="92">
        <v>45055</v>
      </c>
      <c r="B22" s="105">
        <f t="shared" si="0"/>
        <v>19</v>
      </c>
      <c r="C22" s="7" t="s">
        <v>33</v>
      </c>
      <c r="D22" s="96">
        <v>8.3333333333333329E-2</v>
      </c>
      <c r="E22" s="94" t="s">
        <v>69</v>
      </c>
    </row>
    <row r="23" spans="1:5" ht="30" x14ac:dyDescent="0.25">
      <c r="A23" s="92">
        <v>45055</v>
      </c>
      <c r="B23" s="105">
        <f t="shared" si="0"/>
        <v>19</v>
      </c>
      <c r="C23" s="7" t="s">
        <v>32</v>
      </c>
      <c r="D23" s="96">
        <v>8.3333333333333329E-2</v>
      </c>
      <c r="E23" s="94" t="s">
        <v>70</v>
      </c>
    </row>
    <row r="24" spans="1:5" x14ac:dyDescent="0.25">
      <c r="A24" s="92">
        <v>45055</v>
      </c>
      <c r="B24" s="105">
        <f t="shared" si="0"/>
        <v>19</v>
      </c>
      <c r="C24" s="7" t="s">
        <v>32</v>
      </c>
      <c r="D24" s="96">
        <v>8.3333333333333329E-2</v>
      </c>
      <c r="E24" s="94" t="s">
        <v>71</v>
      </c>
    </row>
    <row r="25" spans="1:5" ht="30" x14ac:dyDescent="0.25">
      <c r="A25" s="92">
        <v>45055</v>
      </c>
      <c r="B25" s="105">
        <f t="shared" si="0"/>
        <v>19</v>
      </c>
      <c r="C25" s="7" t="s">
        <v>43</v>
      </c>
      <c r="D25" s="96">
        <v>4.1666666666666664E-2</v>
      </c>
      <c r="E25" s="94" t="s">
        <v>72</v>
      </c>
    </row>
    <row r="26" spans="1:5" x14ac:dyDescent="0.25">
      <c r="A26" s="92">
        <v>45055</v>
      </c>
      <c r="B26" s="105">
        <f t="shared" si="0"/>
        <v>19</v>
      </c>
      <c r="C26" s="7" t="s">
        <v>48</v>
      </c>
      <c r="D26" s="96">
        <v>6.9444444444444441E-3</v>
      </c>
      <c r="E26" s="94"/>
    </row>
    <row r="27" spans="1:5" ht="30" x14ac:dyDescent="0.25">
      <c r="A27" s="92">
        <v>45056</v>
      </c>
      <c r="B27" s="105">
        <f t="shared" si="0"/>
        <v>19</v>
      </c>
      <c r="C27" s="7" t="s">
        <v>31</v>
      </c>
      <c r="D27" s="96">
        <v>8.3333333333333329E-2</v>
      </c>
      <c r="E27" s="94" t="s">
        <v>76</v>
      </c>
    </row>
    <row r="28" spans="1:5" ht="30" x14ac:dyDescent="0.25">
      <c r="A28" s="92">
        <v>45056</v>
      </c>
      <c r="B28" s="105">
        <f t="shared" si="0"/>
        <v>19</v>
      </c>
      <c r="C28" s="7" t="s">
        <v>41</v>
      </c>
      <c r="D28" s="96">
        <v>2.0833333333333332E-2</v>
      </c>
      <c r="E28" s="94" t="s">
        <v>73</v>
      </c>
    </row>
    <row r="29" spans="1:5" x14ac:dyDescent="0.25">
      <c r="A29" s="92">
        <v>45056</v>
      </c>
      <c r="B29" s="105">
        <f t="shared" si="0"/>
        <v>19</v>
      </c>
      <c r="C29" s="7" t="s">
        <v>29</v>
      </c>
      <c r="D29" s="96">
        <v>2.0833333333333332E-2</v>
      </c>
      <c r="E29" s="94" t="s">
        <v>74</v>
      </c>
    </row>
    <row r="30" spans="1:5" ht="30" x14ac:dyDescent="0.25">
      <c r="A30" s="93">
        <v>45056</v>
      </c>
      <c r="B30" s="106">
        <f t="shared" si="0"/>
        <v>19</v>
      </c>
      <c r="C30" s="8" t="s">
        <v>31</v>
      </c>
      <c r="D30" s="97">
        <v>4.1666666666666664E-2</v>
      </c>
      <c r="E30" s="95" t="s">
        <v>75</v>
      </c>
    </row>
    <row r="31" spans="1:5" x14ac:dyDescent="0.25">
      <c r="A31" s="93">
        <v>45057</v>
      </c>
      <c r="B31" s="106">
        <f t="shared" si="0"/>
        <v>19</v>
      </c>
      <c r="C31" s="8" t="s">
        <v>77</v>
      </c>
      <c r="D31" s="97">
        <v>8.3333333333333329E-2</v>
      </c>
      <c r="E31" s="95"/>
    </row>
    <row r="32" spans="1:5" ht="30" x14ac:dyDescent="0.25">
      <c r="A32" s="93">
        <v>45057</v>
      </c>
      <c r="B32" s="106">
        <f t="shared" si="0"/>
        <v>19</v>
      </c>
      <c r="C32" s="8" t="s">
        <v>43</v>
      </c>
      <c r="D32" s="97">
        <v>4.1666666666666664E-2</v>
      </c>
      <c r="E32" s="95" t="s">
        <v>78</v>
      </c>
    </row>
    <row r="33" spans="1:5" ht="30" x14ac:dyDescent="0.25">
      <c r="A33" s="93">
        <v>45057</v>
      </c>
      <c r="B33" s="106">
        <f t="shared" si="0"/>
        <v>19</v>
      </c>
      <c r="C33" s="8" t="s">
        <v>47</v>
      </c>
      <c r="D33" s="97">
        <v>4.1666666666666664E-2</v>
      </c>
      <c r="E33" s="95" t="s">
        <v>79</v>
      </c>
    </row>
    <row r="34" spans="1:5" x14ac:dyDescent="0.25">
      <c r="A34" s="93">
        <v>45057</v>
      </c>
      <c r="B34" s="106">
        <f t="shared" si="0"/>
        <v>19</v>
      </c>
      <c r="C34" s="8" t="s">
        <v>47</v>
      </c>
      <c r="D34" s="97">
        <v>4.1666666666666664E-2</v>
      </c>
      <c r="E34" s="95" t="s">
        <v>80</v>
      </c>
    </row>
    <row r="35" spans="1:5" x14ac:dyDescent="0.25">
      <c r="A35" s="93">
        <v>45057</v>
      </c>
      <c r="B35" s="106">
        <f t="shared" si="0"/>
        <v>19</v>
      </c>
      <c r="C35" s="8" t="s">
        <v>43</v>
      </c>
      <c r="D35" s="97">
        <v>8.3333333333333329E-2</v>
      </c>
      <c r="E35" s="95" t="s">
        <v>81</v>
      </c>
    </row>
    <row r="36" spans="1:5" x14ac:dyDescent="0.25">
      <c r="A36" s="93">
        <v>45057</v>
      </c>
      <c r="B36" s="106">
        <f t="shared" si="0"/>
        <v>19</v>
      </c>
      <c r="C36" s="8" t="s">
        <v>48</v>
      </c>
      <c r="D36" s="97">
        <v>6.9444444444444441E-3</v>
      </c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" right="0.7" top="0.75" bottom="0.75" header="0.3" footer="0.3"/>
  <pageSetup paperSize="9" scale="97" fitToHeight="0" orientation="landscape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Base</vt:lpstr>
      <vt:lpstr>Planning</vt:lpstr>
      <vt:lpstr>Journal</vt:lpstr>
      <vt:lpstr>Journal!Zone_d_impression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2023-05-11T14:28:25Z</cp:lastPrinted>
  <dcterms:created xsi:type="dcterms:W3CDTF">2015-01-22T08:10:30Z</dcterms:created>
  <dcterms:modified xsi:type="dcterms:W3CDTF">2023-05-11T14:30:11Z</dcterms:modified>
</cp:coreProperties>
</file>