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E:\Bill-Manager\Documentation\"/>
    </mc:Choice>
  </mc:AlternateContent>
  <xr:revisionPtr revIDLastSave="0" documentId="13_ncr:1_{441BE5E1-9797-45CA-B977-57BED22AA562}"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71" i="1"/>
  <c r="B73" i="6"/>
  <c r="B30" i="6"/>
  <c r="B79" i="6"/>
  <c r="B91" i="6"/>
  <c r="B42" i="6"/>
  <c r="B67" i="6"/>
  <c r="B85" i="6"/>
  <c r="B36" i="6"/>
  <c r="B48" i="6"/>
  <c r="B17" i="6"/>
  <c r="B7" i="6"/>
  <c r="B51" i="6"/>
  <c r="B39" i="6"/>
  <c r="P65" i="1" s="1"/>
  <c r="B58" i="6"/>
  <c r="L53" i="1" s="1"/>
  <c r="B45" i="6"/>
  <c r="B21" i="6"/>
  <c r="B27" i="6"/>
  <c r="B64" i="6"/>
  <c r="P75" i="1" s="1"/>
  <c r="B88" i="6"/>
  <c r="B94" i="6"/>
  <c r="B82" i="6"/>
  <c r="P51" i="1" l="1"/>
  <c r="L73" i="1"/>
  <c r="P39" i="1"/>
  <c r="P43" i="1"/>
  <c r="P69" i="1"/>
  <c r="P33" i="1"/>
  <c r="P53" i="1"/>
  <c r="P27" i="1"/>
  <c r="P45" i="1"/>
  <c r="P13" i="1"/>
  <c r="P11" i="1"/>
  <c r="L47" i="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<sst xmlns="http://schemas.openxmlformats.org/spreadsheetml/2006/main" count="178" uniqueCount="104">
  <si>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</si>
  <si>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</si>
  <si>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</si>
  <si>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</si>
  <si>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</si>
  <si>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</si>
  <si>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</si>
  <si>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</si>
  <si>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</si>
  <si>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</si>
  <si>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</si>
  <si>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</si>
  <si>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</si>
  <si>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</si>
  <si>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</si>
  <si>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</si>
  <si>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</si>
  <si>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</si>
  <si>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</si>
  <si>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</si>
  <si>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</si>
  <si>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</si>
  <si>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</si>
  <si>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</si>
  <si>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</si>
  <si>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</si>
  <si>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</si>
  <si>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</si>
  <si>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</si>
  <si>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</si>
  <si>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</si>
  <si>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</si>
  <si>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</si>
  <si>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</si>
  <si>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</si>
  <si>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</si>
  <si>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</si>
  <si>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</si>
  <si>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</si>
  <si>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</si>
  <si>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</si>
  <si>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</si>
  <si>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</si>
  <si>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</si>
  <si>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</si>
  <si>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</si>
  <si>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</si>
  <si>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</si>
  <si>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</si>
  <si>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</si>
  <si>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</si>
  <si>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</si>
  <si>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</si>
  <si>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</si>
  <si>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</si>
  <si>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</si>
  <si>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</si>
  <si>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</si>
  <si>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</si>
  <si>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</si>
  <si>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</si>
  <si>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</si>
  <si>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</si>
  <si>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</si>
  <si>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</si>
  <si>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</si>
  <si>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</si>
  <si>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</si>
  <si>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</si>
  <si>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</si>
  <si>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</si>
  <si>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</si>
  <si>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</si>
  <si>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</si>
  <si>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</si>
  <si>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</si>
  <si>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</si>
  <si>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</si>
  <si>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</si>
  <si>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</si>
  <si>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</si>
  <si>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</si>
  <si>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</si>
  <si>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</si>
  <si>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</si>
  <si>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</si>
  <si>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</si>
  <si>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</si>
  <si>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</si>
  <si>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</si>
  <si>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</si>
  <si>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</si>
  <si>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</si>
  <si>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</si>
  <si>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</si>
  <si>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</si>
  <si>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</si>
  <si>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</si>
  <si>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</si>
  <si>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</si>
  <si>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J'ai pris un peu de temps pour coriger certains des problèmes relevés par corentin lors du test d'expérience utilisateur. Je suis aussi repassé sur tout le code pour ajouter des commentaires et entêtes de fonctions</t>
  </si>
  <si>
    <t>En plus d'avancer la documentation, j'ai remis à jour les MCD et MLD</t>
  </si>
  <si>
    <t>J'ai corrigé plusieurs des problèmes restants</t>
  </si>
  <si>
    <t>En plus d'avancer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</si>
</sst>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27" sqref="G27"/>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13" zoomScale="70" zoomScaleNormal="70" zoomScalePageLayoutView="70" workbookViewId="0">
      <selection activeCell="X27" sqref="X27"/>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3.6215277777777781</v>
      </c>
      <c r="C4" s="31"/>
      <c r="D4" s="4">
        <f>SUMIF($C$8:$C$9978,$C9,D$8:D$9978)</f>
        <v>0.76388888888888895</v>
      </c>
      <c r="E4" s="2"/>
      <c r="F4" s="4">
        <f>SUMIF($C$8:$C$9978,$C9,F$8:F$9978)</f>
        <v>0.99652777777777779</v>
      </c>
      <c r="G4" s="3"/>
      <c r="H4" s="4">
        <f>SUMIF($C$8:$C$9978,$C9,H$8:H$9978)</f>
        <v>0.69791666666666663</v>
      </c>
      <c r="I4" s="3"/>
      <c r="J4" s="4">
        <f>SUMIF($C$8:$C$9978,$C9,J$8:J$9978)</f>
        <v>0.9965277777777779</v>
      </c>
      <c r="K4" s="3"/>
      <c r="L4" s="4">
        <f>SUMIF($C$8:$C$9978,$C9,L$8:L$9978)</f>
        <v>0.16666666666666666</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1.0972222222222223</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0.25</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0.25</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1.1284722222222221</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0.29166666666666669</v>
      </c>
      <c r="K65" s="62"/>
      <c r="L65" s="60">
        <f>SUMIFS(Journal!$D$4:$D$10001,Journal!$B$4:$B$10001,L$5,Journal!$C$4:$C$10001,$B64)</f>
        <v>0.16666666666666666</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0.90972222222222221</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1.3888888888888888E-2</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6.5972222222222224E-2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5" activePane="bottomLeft" state="frozen"/>
      <selection activeCell="B78" sqref="B78"/>
      <selection pane="bottomLeft" activeCell="E70" sqref="A70:E70"/>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45076</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ht="30"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100</v>
      </c>
    </row>
    <row r="63" spans="1:5" x14ac:dyDescent="0.25">
      <c r="A63" s="91">
        <v>45070</v>
      </c>
      <c r="B63" s="104">
        <f t="shared" si="0"/>
        <v>21</v>
      </c>
      <c r="C63" s="106" t="s">
        <v>42</v>
      </c>
      <c r="D63" s="95">
        <v>8.3333333333333329E-2</v>
      </c>
      <c r="E63" s="93" t="s">
        <v>103</v>
      </c>
    </row>
    <row r="64" spans="1:5" x14ac:dyDescent="0.25">
      <c r="A64" s="91">
        <v>45071</v>
      </c>
      <c r="B64" s="104">
        <f t="shared" si="0"/>
        <v>21</v>
      </c>
      <c r="C64" s="106" t="s">
        <v>49</v>
      </c>
      <c r="D64" s="95">
        <v>4.1666666666666664E-2</v>
      </c>
      <c r="E64" s="93" t="s">
        <v>102</v>
      </c>
    </row>
    <row r="65" spans="1:5" ht="30" x14ac:dyDescent="0.25">
      <c r="A65" s="91">
        <v>45071</v>
      </c>
      <c r="B65" s="104">
        <f t="shared" si="0"/>
        <v>21</v>
      </c>
      <c r="C65" s="106" t="s">
        <v>42</v>
      </c>
      <c r="D65" s="95">
        <v>0.125</v>
      </c>
      <c r="E65" s="93" t="s">
        <v>101</v>
      </c>
    </row>
    <row r="66" spans="1:5" x14ac:dyDescent="0.25">
      <c r="A66" s="91">
        <v>45071</v>
      </c>
      <c r="B66" s="104">
        <f t="shared" si="0"/>
        <v>21</v>
      </c>
      <c r="C66" s="106" t="s">
        <v>49</v>
      </c>
      <c r="D66" s="95">
        <v>8.3333333333333329E-2</v>
      </c>
      <c r="E66" s="93" t="s">
        <v>102</v>
      </c>
    </row>
    <row r="67" spans="1:5" x14ac:dyDescent="0.25">
      <c r="A67" s="91">
        <v>45071</v>
      </c>
      <c r="B67" s="104">
        <f t="shared" si="0"/>
        <v>21</v>
      </c>
      <c r="C67" s="106" t="s">
        <v>42</v>
      </c>
      <c r="D67" s="95">
        <v>4.1666666666666664E-2</v>
      </c>
      <c r="E67" s="93" t="s">
        <v>80</v>
      </c>
    </row>
    <row r="68" spans="1:5" x14ac:dyDescent="0.25">
      <c r="A68" s="91">
        <v>45071</v>
      </c>
      <c r="B68" s="104">
        <f t="shared" si="0"/>
        <v>21</v>
      </c>
      <c r="C68" s="106" t="s">
        <v>47</v>
      </c>
      <c r="D68" s="95">
        <v>6.9444444444444441E-3</v>
      </c>
      <c r="E68" s="93"/>
    </row>
    <row r="69" spans="1:5" x14ac:dyDescent="0.25">
      <c r="A69" s="91">
        <v>45076</v>
      </c>
      <c r="B69" s="104">
        <f t="shared" si="0"/>
        <v>22</v>
      </c>
      <c r="C69" s="106" t="s">
        <v>42</v>
      </c>
      <c r="D69" s="95">
        <v>0.16666666666666666</v>
      </c>
      <c r="E69" s="93"/>
    </row>
    <row r="70" spans="1:5" x14ac:dyDescent="0.25">
      <c r="A70" s="91"/>
      <c r="B70" s="104"/>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2023-05-30T10:02:31Z</dcterms:modified>
</cp:coreProperties>
</file>