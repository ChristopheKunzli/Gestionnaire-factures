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B09FB2E3-53BD-405F-AC8B-88DE11826C87}"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1" i="6" l="1"/>
  <c r="U24" i="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B3" i="1" l="1"/>
  <c r="L2" i="1"/>
  <c r="N2" i="1" s="1"/>
  <c r="J5" i="1"/>
  <c r="N5" i="1" l="1"/>
  <c r="P2" i="1"/>
  <c r="L5" i="1"/>
  <c r="P5" i="1" l="1"/>
  <c r="R2" i="1"/>
  <c r="R5" i="1" l="1"/>
  <c r="T2" i="1"/>
  <c r="T5" i="1" s="1"/>
  <c r="P71" i="1"/>
  <c r="B73" i="6"/>
  <c r="B30" i="6"/>
  <c r="B79" i="6"/>
  <c r="B91" i="6"/>
  <c r="B42" i="6"/>
  <c r="B67" i="6"/>
  <c r="B85" i="6"/>
  <c r="B36" i="6"/>
  <c r="B48" i="6"/>
  <c r="B17" i="6"/>
  <c r="B7" i="6"/>
  <c r="B70" i="6"/>
  <c r="B51" i="6"/>
  <c r="B39" i="6"/>
  <c r="P65" i="1" s="1"/>
  <c r="B58" i="6"/>
  <c r="L53" i="1" s="1"/>
  <c r="B45" i="6"/>
  <c r="B21" i="6"/>
  <c r="B27" i="6"/>
  <c r="B64" i="6"/>
  <c r="P75" i="1" s="1"/>
  <c r="B88" i="6"/>
  <c r="B94" i="6"/>
  <c r="B82" i="6"/>
  <c r="P51" i="1" l="1"/>
  <c r="L73" i="1"/>
  <c r="P39" i="1"/>
  <c r="P43" i="1"/>
  <c r="P69" i="1"/>
  <c r="P33" i="1"/>
  <c r="P53" i="1"/>
  <c r="P27" i="1"/>
  <c r="P45" i="1"/>
  <c r="P13" i="1"/>
  <c r="P11" i="1"/>
  <c r="L47" i="1"/>
  <c r="N17" i="1"/>
  <c r="L33" i="1"/>
  <c r="L17" i="1"/>
  <c r="L45" i="1"/>
  <c r="L71" i="1"/>
  <c r="P29" i="1"/>
  <c r="P31" i="1"/>
  <c r="P61" i="1"/>
  <c r="P19" i="1"/>
  <c r="P67" i="1"/>
  <c r="P9" i="1"/>
  <c r="P25" i="1"/>
  <c r="P55" i="1"/>
  <c r="P57" i="1"/>
  <c r="P59" i="1"/>
  <c r="P17" i="1"/>
  <c r="P47" i="1"/>
  <c r="P41" i="1"/>
  <c r="N11" i="1"/>
  <c r="N39" i="1"/>
  <c r="N67" i="1"/>
  <c r="L57" i="1"/>
  <c r="L31" i="1"/>
  <c r="N27" i="1"/>
  <c r="N73" i="1"/>
  <c r="L13" i="1"/>
  <c r="L29" i="1"/>
  <c r="L55" i="1"/>
  <c r="L43" i="1"/>
  <c r="N29" i="1"/>
  <c r="L69" i="1"/>
  <c r="L67" i="1"/>
  <c r="L59" i="1"/>
  <c r="N65" i="1"/>
  <c r="N33" i="1"/>
  <c r="N69" i="1"/>
  <c r="N57" i="1"/>
  <c r="L75" i="1"/>
  <c r="L61" i="1"/>
  <c r="N75" i="1"/>
  <c r="L39" i="1"/>
  <c r="P73" i="1"/>
  <c r="P15" i="1"/>
  <c r="J19" i="1"/>
  <c r="J41" i="1"/>
  <c r="N41" i="1"/>
  <c r="N45" i="1"/>
  <c r="N9" i="1"/>
  <c r="N71" i="1"/>
  <c r="L25" i="1"/>
  <c r="L41" i="1"/>
  <c r="L19" i="1"/>
  <c r="N47" i="1"/>
  <c r="N13" i="1"/>
  <c r="N55" i="1"/>
  <c r="N25" i="1"/>
  <c r="N43" i="1"/>
  <c r="N31" i="1"/>
  <c r="L27" i="1"/>
  <c r="N19" i="1"/>
  <c r="N61" i="1"/>
  <c r="N59" i="1"/>
  <c r="N51" i="1"/>
  <c r="N53" i="1"/>
  <c r="L11" i="1"/>
  <c r="H11" i="1"/>
  <c r="H57" i="1"/>
  <c r="H17" i="1"/>
  <c r="H67" i="1"/>
  <c r="H29" i="1"/>
  <c r="J13" i="1"/>
  <c r="J45" i="1"/>
  <c r="J75" i="1"/>
  <c r="J73" i="1"/>
  <c r="J47" i="1"/>
  <c r="J55" i="1"/>
  <c r="J25" i="1"/>
  <c r="J31" i="1"/>
  <c r="J33" i="1"/>
  <c r="J11" i="1"/>
  <c r="J39" i="1"/>
  <c r="J67" i="1"/>
  <c r="J53" i="1"/>
  <c r="J59" i="1"/>
  <c r="J57" i="1"/>
  <c r="J61" i="1"/>
  <c r="J43" i="1"/>
  <c r="J69" i="1"/>
  <c r="J17" i="1"/>
  <c r="J71" i="1"/>
  <c r="J27" i="1"/>
  <c r="N15" i="1"/>
  <c r="H13" i="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<sst xmlns="http://schemas.openxmlformats.org/spreadsheetml/2006/main" count="177" uniqueCount="104">
  <si>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</si>
  <si>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</si>
  <si>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</si>
  <si>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</si>
  <si>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</si>
  <si>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</si>
  <si>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</si>
  <si>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</si>
  <si>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</si>
  <si>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</si>
  <si>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</si>
  <si>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</si>
  <si>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</si>
  <si>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</si>
  <si>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</si>
  <si>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</si>
  <si>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</si>
  <si>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</si>
  <si>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</si>
  <si>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</si>
  <si>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</si>
  <si>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</si>
  <si>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</si>
  <si>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</si>
  <si>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</si>
  <si>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</si>
  <si>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</si>
  <si>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</si>
  <si>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</si>
  <si>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</si>
  <si>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</si>
  <si>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</si>
  <si>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</si>
  <si>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</si>
  <si>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</si>
  <si>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</si>
  <si>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</si>
  <si>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</si>
  <si>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</si>
  <si>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</si>
  <si>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</si>
  <si>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</si>
  <si>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</si>
  <si>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</si>
  <si>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</si>
  <si>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</si>
  <si>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</si>
  <si>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</si>
  <si>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</si>
  <si>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</si>
  <si>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</si>
  <si>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</si>
  <si>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</si>
  <si>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</si>
  <si>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</si>
  <si>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</si>
  <si>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</si>
  <si>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</si>
  <si>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</si>
  <si>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</si>
  <si>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</si>
  <si>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</si>
  <si>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</si>
  <si>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</si>
  <si>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</si>
  <si>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</si>
  <si>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</si>
  <si>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</si>
  <si>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</si>
  <si>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</si>
  <si>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</si>
  <si>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</si>
  <si>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</si>
  <si>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</si>
  <si>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</si>
  <si>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</si>
  <si>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</si>
  <si>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</si>
  <si>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</si>
  <si>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</si>
  <si>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</si>
  <si>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</si>
  <si>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</si>
  <si>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</si>
  <si>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</si>
  <si>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</si>
  <si>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</si>
  <si>
    <t>J'ai ajouter la création automatiue des dossiers de stockage des fichiers pdf contenant les factures</t>
  </si>
  <si>
    <t>J'ai pu importer des factures de fournisseurs différents</t>
  </si>
  <si>
    <t>J'ai pris du temps pour rechercher des solutions pour le traitement de pdf dans une application c# (affichage et impression)</t>
  </si>
  <si>
    <t>J'ai commencé à écrire une classe afin de tester la classe de connection à la base de données</t>
  </si>
  <si>
    <t>Comme cette semaine est raccourcie, j'envoi le 2ème rendu aujourd'hui. Le contenu du rapport n'a pas beaucoup changé vu qu'il n'y a eu que très peu de temps pour travailler depuis le rendu d'hier</t>
  </si>
  <si>
    <t>Création du formulaire listant les factures</t>
  </si>
  <si>
    <t xml:space="preserve">Faire des recherches parmis la liste de facture et afficher toutes les données d'une facture </t>
  </si>
  <si>
    <t>J'ai corrigé quelques bugs avec la recherche de facture</t>
  </si>
  <si>
    <t>L'affichage des statistiques fonctionne, mais il est encore impossible de filtrer par founisseur</t>
  </si>
  <si>
    <t>J'ai implémenté le filtrage par fournisseurs des données utilisées dans la charte</t>
  </si>
  <si>
    <t>J'ai testé la création de nouveaux utilisateurs, aucun bug rencontré</t>
  </si>
  <si>
    <t>J'ai testé la recherche de facture et l'affichage des statistiques par fournisseurs</t>
  </si>
  <si>
    <t>Test d'expérience utilisateur par Corentin Bardet. Quelques problèmes ont été relevés</t>
  </si>
  <si>
    <t>J'ai pris un peu de temps pour coriger certains des problèmes relevés par corentin lors du test d'expérience utilisateur. Je suis aussi repassé sur tout le code pour ajouter des commentaires et entêtes de fonctions</t>
  </si>
  <si>
    <t>En plus d'avancer la documentation, j'ai remis à jour les MCD et MLD</t>
  </si>
  <si>
    <t>J'ai corrigé plusieurs des problèmes restants</t>
  </si>
  <si>
    <t>En plus d'avancer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</si>
</sst>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3">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xf numFmtId="0" fontId="13" fillId="0" borderId="2" xfId="0" applyFont="1" applyFill="1" applyBorder="1" applyAlignment="1" applyProtection="1">
      <alignment horizontal="left" wrapText="1"/>
      <protection locked="0"/>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27" sqref="G27"/>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84</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28" zoomScale="70" zoomScaleNormal="70" zoomScalePageLayoutView="70" workbookViewId="0">
      <selection activeCell="L65" sqref="L65"/>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3.4548611111111116</v>
      </c>
      <c r="C4" s="31"/>
      <c r="D4" s="4">
        <f>SUMIF($C$8:$C$9978,$C9,D$8:D$9978)</f>
        <v>0.76388888888888895</v>
      </c>
      <c r="E4" s="2"/>
      <c r="F4" s="4">
        <f>SUMIF($C$8:$C$9978,$C9,F$8:F$9978)</f>
        <v>0.99652777777777779</v>
      </c>
      <c r="G4" s="3"/>
      <c r="H4" s="4">
        <f>SUMIF($C$8:$C$9978,$C9,H$8:H$9978)</f>
        <v>0.69791666666666663</v>
      </c>
      <c r="I4" s="3"/>
      <c r="J4" s="4">
        <f>SUMIF($C$8:$C$9978,$C9,J$8:J$9978)</f>
        <v>0.9965277777777779</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0.46527777777777779</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4.1666666666666664E-2</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0.16666666666666666</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1.0972222222222223</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0.25</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0.25</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0.2326388888888889</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f t="shared" si="2"/>
        <v>0.2326388888888889</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0.16666666666666666</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f t="shared" si="2"/>
        <v>0.16666666666666666</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0.25</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f t="shared" si="2"/>
        <v>0.25</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0.2048611111111111</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8.3333333333333329E-2</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0.10416666666666666</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3.8194444444444448E-2</v>
      </c>
      <c r="I53" s="62"/>
      <c r="J53" s="60">
        <f>SUMIFS(Journal!$D$4:$D$10001,Journal!$B$4:$B$10001,J$5,Journal!$C$4:$C$10001,$B52)</f>
        <v>2.0833333333333332E-2</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7.9861111111111105E-2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2.0833333333333332E-2</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f t="shared" si="3"/>
        <v>2.0833333333333332E-2</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0.96180555555555558</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0.1736111111111111</v>
      </c>
      <c r="I65" s="62"/>
      <c r="J65" s="60">
        <f>SUMIFS(Journal!$D$4:$D$10001,Journal!$B$4:$B$10001,J$5,Journal!$C$4:$C$10001,$B64)</f>
        <v>0.29166666666666669</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0.74305555555555558</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1.7361111111111112E-2</v>
      </c>
      <c r="I67" s="62"/>
      <c r="J67" s="60">
        <f>SUMIFS(Journal!$D$4:$D$10001,Journal!$B$4:$B$10001,J$5,Journal!$C$4:$C$10001,$B66)</f>
        <v>1.3888888888888888E-2</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6.5972222222222224E-2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52" activePane="bottomLeft" state="frozen"/>
      <selection activeCell="B78" sqref="B78"/>
      <selection pane="bottomLeft" activeCell="E65" sqref="E65"/>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45071</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85</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97</v>
      </c>
    </row>
    <row r="42" spans="1:5" ht="30" x14ac:dyDescent="0.25">
      <c r="A42" s="91">
        <v>45061</v>
      </c>
      <c r="B42" s="104">
        <f t="shared" si="0"/>
        <v>20</v>
      </c>
      <c r="C42" s="106" t="s">
        <v>36</v>
      </c>
      <c r="D42" s="95">
        <v>8.3333333333333329E-2</v>
      </c>
      <c r="E42" s="93" t="s">
        <v>83</v>
      </c>
    </row>
    <row r="43" spans="1:5" x14ac:dyDescent="0.25">
      <c r="A43" s="91">
        <v>45062</v>
      </c>
      <c r="B43" s="104">
        <f t="shared" si="0"/>
        <v>20</v>
      </c>
      <c r="C43" s="106" t="s">
        <v>84</v>
      </c>
      <c r="D43" s="95">
        <v>2.0833333333333332E-2</v>
      </c>
      <c r="E43" s="93"/>
    </row>
    <row r="44" spans="1:5" ht="75" x14ac:dyDescent="0.25">
      <c r="A44" s="91">
        <v>45062</v>
      </c>
      <c r="B44" s="104">
        <f t="shared" si="0"/>
        <v>20</v>
      </c>
      <c r="C44" s="106" t="s">
        <v>36</v>
      </c>
      <c r="D44" s="95">
        <v>0.14583333333333334</v>
      </c>
      <c r="E44" s="93" t="s">
        <v>86</v>
      </c>
    </row>
    <row r="45" spans="1:5" ht="30" x14ac:dyDescent="0.25">
      <c r="A45" s="91">
        <v>45062</v>
      </c>
      <c r="B45" s="104">
        <f t="shared" si="0"/>
        <v>20</v>
      </c>
      <c r="C45" s="106" t="s">
        <v>36</v>
      </c>
      <c r="D45" s="95">
        <v>2.0833333333333332E-2</v>
      </c>
      <c r="E45" s="93" t="s">
        <v>87</v>
      </c>
    </row>
    <row r="46" spans="1:5" x14ac:dyDescent="0.25">
      <c r="A46" s="91">
        <v>45062</v>
      </c>
      <c r="B46" s="104">
        <f t="shared" si="0"/>
        <v>20</v>
      </c>
      <c r="C46" s="106" t="s">
        <v>40</v>
      </c>
      <c r="D46" s="95">
        <v>2.0833333333333332E-2</v>
      </c>
      <c r="E46" s="93" t="s">
        <v>88</v>
      </c>
    </row>
    <row r="47" spans="1:5" x14ac:dyDescent="0.25">
      <c r="A47" s="91">
        <v>45062</v>
      </c>
      <c r="B47" s="104">
        <f t="shared" si="0"/>
        <v>20</v>
      </c>
      <c r="C47" s="106" t="s">
        <v>42</v>
      </c>
      <c r="D47" s="95">
        <v>8.3333333333333329E-2</v>
      </c>
      <c r="E47" s="93" t="s">
        <v>80</v>
      </c>
    </row>
    <row r="48" spans="1:5" x14ac:dyDescent="0.25">
      <c r="A48" s="91">
        <v>45062</v>
      </c>
      <c r="B48" s="104">
        <f t="shared" si="0"/>
        <v>20</v>
      </c>
      <c r="C48" s="106" t="s">
        <v>47</v>
      </c>
      <c r="D48" s="95">
        <v>6.9444444444444441E-3</v>
      </c>
    </row>
    <row r="49" spans="1:5" ht="45" x14ac:dyDescent="0.25">
      <c r="A49" s="91">
        <v>45063</v>
      </c>
      <c r="B49" s="104">
        <f t="shared" si="0"/>
        <v>20</v>
      </c>
      <c r="C49" s="106" t="s">
        <v>46</v>
      </c>
      <c r="D49" s="95">
        <v>4.1666666666666664E-2</v>
      </c>
      <c r="E49" s="93" t="s">
        <v>89</v>
      </c>
    </row>
    <row r="50" spans="1:5" ht="30" x14ac:dyDescent="0.25">
      <c r="A50" s="91">
        <v>45063</v>
      </c>
      <c r="B50" s="104">
        <f t="shared" si="0"/>
        <v>20</v>
      </c>
      <c r="C50" s="106" t="s">
        <v>29</v>
      </c>
      <c r="D50" s="95">
        <v>8.3333333333333329E-2</v>
      </c>
      <c r="E50" s="93" t="s">
        <v>90</v>
      </c>
    </row>
    <row r="51" spans="1:5" x14ac:dyDescent="0.25">
      <c r="A51" s="91">
        <v>45063</v>
      </c>
      <c r="B51" s="104">
        <f t="shared" si="0"/>
        <v>20</v>
      </c>
      <c r="C51" s="106" t="s">
        <v>42</v>
      </c>
      <c r="D51" s="95">
        <v>3.125E-2</v>
      </c>
      <c r="E51" s="93" t="s">
        <v>80</v>
      </c>
    </row>
    <row r="52" spans="1:5" ht="60" x14ac:dyDescent="0.25">
      <c r="A52" s="91">
        <v>45063</v>
      </c>
      <c r="B52" s="104">
        <f t="shared" si="0"/>
        <v>20</v>
      </c>
      <c r="C52" s="106" t="s">
        <v>47</v>
      </c>
      <c r="D52" s="95">
        <v>1.0416666666666666E-2</v>
      </c>
      <c r="E52" s="93" t="s">
        <v>91</v>
      </c>
    </row>
    <row r="53" spans="1:5" x14ac:dyDescent="0.25">
      <c r="A53" s="91">
        <v>45068</v>
      </c>
      <c r="B53" s="104">
        <f t="shared" si="0"/>
        <v>21</v>
      </c>
      <c r="C53" s="106" t="s">
        <v>38</v>
      </c>
      <c r="D53" s="95">
        <v>0.10069444444444443</v>
      </c>
      <c r="E53" s="93" t="s">
        <v>92</v>
      </c>
    </row>
    <row r="54" spans="1:5" ht="30" x14ac:dyDescent="0.25">
      <c r="A54" s="91">
        <v>45068</v>
      </c>
      <c r="B54" s="104">
        <f t="shared" si="0"/>
        <v>21</v>
      </c>
      <c r="C54" s="106" t="s">
        <v>38</v>
      </c>
      <c r="D54" s="95">
        <v>0.13194444444444445</v>
      </c>
      <c r="E54" s="93" t="s">
        <v>93</v>
      </c>
    </row>
    <row r="55" spans="1:5" x14ac:dyDescent="0.25">
      <c r="A55" s="91">
        <v>45069</v>
      </c>
      <c r="B55" s="104">
        <f t="shared" si="0"/>
        <v>21</v>
      </c>
      <c r="C55" s="106" t="s">
        <v>49</v>
      </c>
      <c r="D55" s="95">
        <v>4.1666666666666664E-2</v>
      </c>
      <c r="E55" s="93" t="s">
        <v>94</v>
      </c>
    </row>
    <row r="56" spans="1:5" ht="30" x14ac:dyDescent="0.25">
      <c r="A56" s="91">
        <v>45069</v>
      </c>
      <c r="B56" s="104">
        <f t="shared" si="0"/>
        <v>21</v>
      </c>
      <c r="C56" s="106" t="s">
        <v>39</v>
      </c>
      <c r="D56" s="95">
        <v>0.125</v>
      </c>
      <c r="E56" s="93" t="s">
        <v>95</v>
      </c>
    </row>
    <row r="57" spans="1:5" ht="30" x14ac:dyDescent="0.25">
      <c r="A57" s="91">
        <v>45069</v>
      </c>
      <c r="B57" s="104">
        <f t="shared" si="0"/>
        <v>21</v>
      </c>
      <c r="C57" s="106" t="s">
        <v>39</v>
      </c>
      <c r="D57" s="95">
        <v>4.1666666666666664E-2</v>
      </c>
      <c r="E57" s="93" t="s">
        <v>96</v>
      </c>
    </row>
    <row r="58" spans="1:5" ht="30" x14ac:dyDescent="0.25">
      <c r="A58" s="91">
        <v>45069</v>
      </c>
      <c r="B58" s="104">
        <f t="shared" si="0"/>
        <v>21</v>
      </c>
      <c r="C58" s="106" t="s">
        <v>40</v>
      </c>
      <c r="D58" s="95">
        <v>2.0833333333333332E-2</v>
      </c>
      <c r="E58" s="112" t="s">
        <v>98</v>
      </c>
    </row>
    <row r="59" spans="1:5" ht="30" x14ac:dyDescent="0.25">
      <c r="A59" s="91">
        <v>45069</v>
      </c>
      <c r="B59" s="104">
        <f>WEEKNUM(A59,1)</f>
        <v>21</v>
      </c>
      <c r="C59" s="106" t="s">
        <v>41</v>
      </c>
      <c r="D59" s="95">
        <v>2.0833333333333332E-2</v>
      </c>
      <c r="E59" s="112" t="s">
        <v>99</v>
      </c>
    </row>
    <row r="60" spans="1:5" x14ac:dyDescent="0.25">
      <c r="A60" s="91">
        <v>45069</v>
      </c>
      <c r="B60" s="104">
        <f>WEEKNUM(A60,1)</f>
        <v>21</v>
      </c>
      <c r="C60" s="106" t="s">
        <v>42</v>
      </c>
      <c r="D60" s="95">
        <v>4.1666666666666664E-2</v>
      </c>
      <c r="E60" s="93" t="s">
        <v>80</v>
      </c>
    </row>
    <row r="61" spans="1:5" x14ac:dyDescent="0.25">
      <c r="A61" s="91">
        <v>45069</v>
      </c>
      <c r="B61" s="104">
        <f t="shared" si="0"/>
        <v>21</v>
      </c>
      <c r="C61" s="106" t="s">
        <v>47</v>
      </c>
      <c r="D61" s="95">
        <v>6.9444444444444441E-3</v>
      </c>
      <c r="E61" s="93"/>
    </row>
    <row r="62" spans="1:5" ht="75" x14ac:dyDescent="0.25">
      <c r="A62" s="91">
        <v>45070</v>
      </c>
      <c r="B62" s="104">
        <f t="shared" si="0"/>
        <v>21</v>
      </c>
      <c r="C62" s="106" t="s">
        <v>49</v>
      </c>
      <c r="D62" s="95">
        <v>8.3333333333333329E-2</v>
      </c>
      <c r="E62" s="93" t="s">
        <v>100</v>
      </c>
    </row>
    <row r="63" spans="1:5" x14ac:dyDescent="0.25">
      <c r="A63" s="91">
        <v>45070</v>
      </c>
      <c r="B63" s="104">
        <f t="shared" si="0"/>
        <v>21</v>
      </c>
      <c r="C63" s="106" t="s">
        <v>42</v>
      </c>
      <c r="D63" s="95">
        <v>8.3333333333333329E-2</v>
      </c>
      <c r="E63" s="93" t="s">
        <v>103</v>
      </c>
    </row>
    <row r="64" spans="1:5" x14ac:dyDescent="0.25">
      <c r="A64" s="91">
        <v>45071</v>
      </c>
      <c r="B64" s="104">
        <f t="shared" si="0"/>
        <v>21</v>
      </c>
      <c r="C64" s="106" t="s">
        <v>49</v>
      </c>
      <c r="D64" s="95">
        <v>4.1666666666666664E-2</v>
      </c>
      <c r="E64" s="93" t="s">
        <v>102</v>
      </c>
    </row>
    <row r="65" spans="1:5" ht="30" x14ac:dyDescent="0.25">
      <c r="A65" s="91">
        <v>45071</v>
      </c>
      <c r="B65" s="104">
        <f t="shared" si="0"/>
        <v>21</v>
      </c>
      <c r="C65" s="106" t="s">
        <v>42</v>
      </c>
      <c r="D65" s="95">
        <v>0.125</v>
      </c>
      <c r="E65" s="93" t="s">
        <v>101</v>
      </c>
    </row>
    <row r="66" spans="1:5" x14ac:dyDescent="0.25">
      <c r="A66" s="91">
        <v>45071</v>
      </c>
      <c r="B66" s="104">
        <f t="shared" si="0"/>
        <v>21</v>
      </c>
      <c r="C66" s="106" t="s">
        <v>49</v>
      </c>
      <c r="D66" s="95">
        <v>8.3333333333333329E-2</v>
      </c>
      <c r="E66" s="93" t="s">
        <v>102</v>
      </c>
    </row>
    <row r="67" spans="1:5" x14ac:dyDescent="0.25">
      <c r="A67" s="91">
        <v>45071</v>
      </c>
      <c r="B67" s="104">
        <f t="shared" si="0"/>
        <v>21</v>
      </c>
      <c r="C67" s="106" t="s">
        <v>42</v>
      </c>
      <c r="D67" s="95">
        <v>4.1666666666666664E-2</v>
      </c>
      <c r="E67" s="93" t="s">
        <v>80</v>
      </c>
    </row>
    <row r="68" spans="1:5" x14ac:dyDescent="0.25">
      <c r="A68" s="91">
        <v>45071</v>
      </c>
      <c r="B68" s="104">
        <f t="shared" si="0"/>
        <v>21</v>
      </c>
      <c r="C68" s="106" t="s">
        <v>47</v>
      </c>
      <c r="D68" s="95">
        <v>6.9444444444444441E-3</v>
      </c>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2023-05-23T14:56:51Z</cp:lastPrinted>
  <dcterms:created xsi:type="dcterms:W3CDTF">2015-01-22T08:10:30Z</dcterms:created>
  <dcterms:modified xsi:type="dcterms:W3CDTF">2023-05-25T14:20:27Z</dcterms:modified>
</cp:coreProperties>
</file>