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A7F0BC44-86A0-46FE-A528-0C4E6738F9EE}" xr6:coauthVersionLast="47" xr6:coauthVersionMax="47" xr10:uidLastSave="{00000000-0000-0000-0000-000000000000}"/>
  <bookViews>
    <workbookView xWindow="-3285" yWindow="1800" windowWidth="7500" windowHeight="9510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31" i="1" l="1"/>
  <c r="F53" i="1"/>
  <c r="F71" i="1"/>
  <c r="D33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75" i="1" l="1"/>
  <c r="H13" i="1"/>
  <c r="H11" i="1"/>
  <c r="H43" i="1"/>
  <c r="H47" i="1"/>
  <c r="H69" i="1"/>
  <c r="H55" i="1"/>
  <c r="H71" i="1"/>
  <c r="H19" i="1"/>
  <c r="H45" i="1"/>
  <c r="H53" i="1"/>
  <c r="H27" i="1"/>
  <c r="H33" i="1"/>
  <c r="H31" i="1"/>
  <c r="H73" i="1"/>
  <c r="H61" i="1"/>
  <c r="H57" i="1"/>
  <c r="H17" i="1"/>
  <c r="H25" i="1"/>
  <c r="H67" i="1"/>
  <c r="H59" i="1"/>
  <c r="H29" i="1"/>
  <c r="H3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37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37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9" i="1" l="1"/>
  <c r="F47" i="1"/>
  <c r="H41" i="1"/>
  <c r="F25" i="1"/>
  <c r="F45" i="1"/>
  <c r="F67" i="1"/>
  <c r="D29" i="1"/>
  <c r="F55" i="1"/>
  <c r="N23" i="1"/>
  <c r="N4" i="1" s="1"/>
  <c r="P23" i="1"/>
  <c r="P4" i="1" s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F37" i="1"/>
  <c r="L37" i="1"/>
  <c r="H23" i="1"/>
  <c r="H37" i="1"/>
  <c r="J51" i="1"/>
  <c r="L9" i="1"/>
  <c r="L51" i="1"/>
  <c r="D23" i="1"/>
  <c r="H9" i="1"/>
  <c r="D37" i="1"/>
  <c r="J9" i="1"/>
  <c r="J37" i="1"/>
  <c r="D4" i="1" l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<sst xmlns="http://schemas.openxmlformats.org/spreadsheetml/2006/main" count="75" uniqueCount="65">
  <si>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</si>
  <si>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</si>
  <si>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</si>
  <si>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</si>
  <si>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</si>
  <si>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</si>
  <si>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</si>
  <si>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</si>
  <si>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</si>
  <si>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</si>
  <si>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</si>
  <si>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</si>
  <si>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</si>
  <si>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</si>
  <si>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</si>
  <si>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</si>
  <si>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</si>
  <si>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</si>
  <si>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46 -</t>
  </si>
  <si>
    <t>16 -</t>
  </si>
  <si>
    <t xml:space="preserve">15 -                                                 </t>
  </si>
  <si>
    <t>1 Analyse</t>
  </si>
  <si>
    <t>4 Tests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</si>
  <si>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</si>
  <si>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</si>
  <si>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</si>
  <si>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</si>
  <si>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</si>
  <si>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</si>
  <si>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</si>
  <si>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</si>
  <si>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</si>
  <si>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</si>
  <si>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</si>
  <si>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</si>
  <si>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</si>
  <si>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</si>
  <si>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</si>
  <si>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</si>
  <si>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</si>
  <si>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</si>
  <si>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</si>
  <si>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</si>
  <si>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</si>
  <si>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</si>
  <si>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</si>
  <si>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</si>
  <si>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</si>
  <si>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</si>
  <si>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</si>
  <si>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</si>
  <si>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</si>
  <si>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 xml:space="preserve">55 - 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</si>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</sst>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tabSelected="1" topLeftCell="B1" workbookViewId="0">
      <selection activeCell="G31" sqref="G31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59</v>
      </c>
      <c r="B4" s="24">
        <v>45048</v>
      </c>
      <c r="C4" s="25"/>
      <c r="D4" s="26"/>
      <c r="E4" s="17"/>
      <c r="F4" s="21" t="s">
        <v>21</v>
      </c>
      <c r="G4" s="27" t="s">
        <v>48</v>
      </c>
      <c r="H4" s="17"/>
    </row>
    <row r="5" spans="1:8" x14ac:dyDescent="0.25">
      <c r="A5" s="22"/>
      <c r="B5" s="17"/>
      <c r="C5" s="25" t="s">
        <v>27</v>
      </c>
      <c r="D5" s="26" t="s">
        <v>28</v>
      </c>
      <c r="E5" s="17"/>
      <c r="F5" s="15"/>
      <c r="G5" s="28" t="s">
        <v>49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50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51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20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19</v>
      </c>
      <c r="H9" s="17"/>
    </row>
    <row r="10" spans="1:8" x14ac:dyDescent="0.25">
      <c r="A10" s="17"/>
      <c r="B10" s="17"/>
      <c r="C10" s="17"/>
      <c r="D10" s="17"/>
      <c r="E10" s="17"/>
      <c r="F10" s="21" t="s">
        <v>29</v>
      </c>
      <c r="G10" s="21" t="s">
        <v>40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39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38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37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36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107" t="s">
        <v>30</v>
      </c>
      <c r="G16" s="27" t="s">
        <v>35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41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42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43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44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55</v>
      </c>
      <c r="H21" s="17"/>
    </row>
    <row r="22" spans="1:8" x14ac:dyDescent="0.25">
      <c r="A22" s="17"/>
      <c r="B22" s="17"/>
      <c r="C22" s="17"/>
      <c r="D22" s="17"/>
      <c r="E22" s="17"/>
      <c r="F22" s="21" t="s">
        <v>22</v>
      </c>
      <c r="G22" s="21" t="s">
        <v>33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45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46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31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32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18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47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53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54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64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52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34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opLeftCell="A34" zoomScale="70" zoomScaleNormal="70" zoomScalePageLayoutView="70" workbookViewId="0">
      <selection activeCell="D66" sqref="D66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0.4513888888888889</v>
      </c>
      <c r="C4" s="33"/>
      <c r="D4" s="4">
        <f>SUMIF($C$8:$C$9978,$C9,D$8:D$9978)</f>
        <v>0.4513888888888889</v>
      </c>
      <c r="E4" s="2"/>
      <c r="F4" s="4">
        <f>SUMIF($C$8:$C$9978,$C9,F$8:F$9978)</f>
        <v>0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0.34027777777777779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4.1666666666666664E-2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0.11111111111111112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5.5555555555555552E-2</v>
      </c>
      <c r="E23" s="63"/>
      <c r="F23" s="62"/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5.5555555555555552E-2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5.2083333333333336E-2</v>
      </c>
      <c r="E25" s="63"/>
      <c r="F25" s="62">
        <f>SUMIFS(Journal!$D$4:$D$10001,Journal!$B$4:$B$10001,F$5,Journal!$C$4:$C$10001,$B24)</f>
        <v>0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5.2083333333333336E-2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0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3.472222222222222E-3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</v>
      </c>
      <c r="E29" s="63"/>
      <c r="F29" s="62">
        <f>SUMIFS(Journal!$D$4:$D$10001,Journal!$B$4:$B$10001,F$5,Journal!$C$4:$C$10001,$B28)</f>
        <v>0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 t="str">
        <f t="shared" si="1"/>
        <v/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 t="str">
        <f t="shared" si="1"/>
        <v/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 t="str">
        <f>IF(SUM(D65:T65)=0,"",SUM(D65:T65))</f>
        <v/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0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 t="str">
        <f t="shared" ref="U67:U75" si="4">IF(SUM(D67:T67)=0,"",SUM(D67:T67))</f>
        <v/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 xml:space="preserve">55 - 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 t="str">
        <f t="shared" si="4"/>
        <v/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heet="1"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38" orientation="portrait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A12" sqref="A12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45049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48</v>
      </c>
      <c r="D4" s="96">
        <v>6.25E-2</v>
      </c>
      <c r="E4" s="94" t="s">
        <v>56</v>
      </c>
    </row>
    <row r="5" spans="1:5" ht="30" x14ac:dyDescent="0.25">
      <c r="A5" s="92">
        <v>45048</v>
      </c>
      <c r="B5" s="105">
        <f>WEEKNUM(A5,1)</f>
        <v>18</v>
      </c>
      <c r="C5" s="7" t="s">
        <v>49</v>
      </c>
      <c r="D5" s="96">
        <v>0.125</v>
      </c>
      <c r="E5" s="94" t="s">
        <v>57</v>
      </c>
    </row>
    <row r="6" spans="1:5" ht="30" x14ac:dyDescent="0.25">
      <c r="A6" s="92">
        <v>45048</v>
      </c>
      <c r="B6" s="105">
        <f>WEEKNUM(A6,1)</f>
        <v>18</v>
      </c>
      <c r="C6" s="7" t="s">
        <v>50</v>
      </c>
      <c r="D6" s="96">
        <v>0.1111111111111111</v>
      </c>
      <c r="E6" s="94" t="s">
        <v>58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40</v>
      </c>
      <c r="D7" s="96">
        <v>4.8611111111111112E-2</v>
      </c>
      <c r="E7" s="94" t="s">
        <v>60</v>
      </c>
    </row>
    <row r="8" spans="1:5" x14ac:dyDescent="0.25">
      <c r="A8" s="92">
        <v>45049</v>
      </c>
      <c r="B8" s="105">
        <f t="shared" si="0"/>
        <v>18</v>
      </c>
      <c r="C8" s="7" t="s">
        <v>39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40</v>
      </c>
      <c r="D9" s="96">
        <v>6.9444444444444441E-3</v>
      </c>
      <c r="E9" s="94" t="s">
        <v>61</v>
      </c>
    </row>
    <row r="10" spans="1:5" ht="45" x14ac:dyDescent="0.25">
      <c r="A10" s="92">
        <v>45049</v>
      </c>
      <c r="B10" s="105">
        <f t="shared" si="0"/>
        <v>18</v>
      </c>
      <c r="C10" s="7" t="s">
        <v>51</v>
      </c>
      <c r="D10" s="96">
        <v>4.1666666666666664E-2</v>
      </c>
      <c r="E10" s="94" t="s">
        <v>62</v>
      </c>
    </row>
    <row r="11" spans="1:5" x14ac:dyDescent="0.25">
      <c r="A11" s="92">
        <v>45049</v>
      </c>
      <c r="B11" s="105">
        <f t="shared" si="0"/>
        <v>18</v>
      </c>
      <c r="C11" s="7" t="s">
        <v>38</v>
      </c>
      <c r="D11" s="96">
        <v>3.472222222222222E-3</v>
      </c>
      <c r="E11" s="94" t="s">
        <v>63</v>
      </c>
    </row>
    <row r="12" spans="1:5" x14ac:dyDescent="0.25">
      <c r="A12" s="92"/>
      <c r="B12" s="105">
        <f>WEEKNUM(A12,1)</f>
        <v>0</v>
      </c>
      <c r="C12" s="7"/>
      <c r="D12" s="96"/>
      <c r="E12" s="94"/>
    </row>
    <row r="13" spans="1:5" ht="30" x14ac:dyDescent="0.25">
      <c r="A13" s="92"/>
      <c r="B13" s="105">
        <f t="shared" ref="B13:B15" si="1">WEEKNUM(A13,1)</f>
        <v>0</v>
      </c>
      <c r="C13" s="7"/>
      <c r="D13" s="96"/>
      <c r="E13" s="94" t="s">
        <v>23</v>
      </c>
    </row>
    <row r="14" spans="1:5" ht="45" x14ac:dyDescent="0.25">
      <c r="A14" s="92"/>
      <c r="B14" s="105">
        <f t="shared" si="1"/>
        <v>0</v>
      </c>
      <c r="C14" s="7"/>
      <c r="D14" s="96"/>
      <c r="E14" s="94" t="s">
        <v>24</v>
      </c>
    </row>
    <row r="15" spans="1:5" ht="30" x14ac:dyDescent="0.25">
      <c r="A15" s="92"/>
      <c r="B15" s="105">
        <f t="shared" si="1"/>
        <v>0</v>
      </c>
      <c r="C15" s="7"/>
      <c r="D15" s="96"/>
      <c r="E15" s="94" t="s">
        <v>25</v>
      </c>
    </row>
    <row r="16" spans="1:5" x14ac:dyDescent="0.25">
      <c r="A16" s="92"/>
      <c r="B16" s="105">
        <f t="shared" si="0"/>
        <v>0</v>
      </c>
      <c r="C16" s="7"/>
      <c r="D16" s="96"/>
      <c r="E16" s="94"/>
    </row>
    <row r="17" spans="1:5" x14ac:dyDescent="0.25">
      <c r="A17" s="92"/>
      <c r="B17" s="105">
        <f t="shared" si="0"/>
        <v>0</v>
      </c>
      <c r="C17" s="7"/>
      <c r="D17" s="96"/>
      <c r="E17" s="94"/>
    </row>
    <row r="18" spans="1:5" x14ac:dyDescent="0.25">
      <c r="A18" s="92"/>
      <c r="B18" s="105">
        <f t="shared" si="0"/>
        <v>0</v>
      </c>
      <c r="C18" s="7"/>
      <c r="D18" s="96"/>
      <c r="E18" s="94"/>
    </row>
    <row r="19" spans="1:5" ht="16.5" customHeight="1" x14ac:dyDescent="0.25">
      <c r="A19" s="92"/>
      <c r="B19" s="105">
        <f t="shared" si="0"/>
        <v>0</v>
      </c>
      <c r="C19" s="7"/>
      <c r="D19" s="96"/>
      <c r="E19" s="94"/>
    </row>
    <row r="20" spans="1:5" x14ac:dyDescent="0.25">
      <c r="A20" s="92"/>
      <c r="B20" s="105">
        <f t="shared" si="0"/>
        <v>0</v>
      </c>
      <c r="C20" s="7"/>
      <c r="D20" s="96"/>
      <c r="E20" s="94"/>
    </row>
    <row r="21" spans="1:5" x14ac:dyDescent="0.25">
      <c r="A21" s="92"/>
      <c r="B21" s="105">
        <f t="shared" si="0"/>
        <v>0</v>
      </c>
      <c r="C21" s="7"/>
      <c r="D21" s="96"/>
      <c r="E21" s="94"/>
    </row>
    <row r="22" spans="1:5" x14ac:dyDescent="0.25">
      <c r="A22" s="92"/>
      <c r="B22" s="105">
        <f t="shared" si="0"/>
        <v>0</v>
      </c>
      <c r="C22" s="7"/>
      <c r="D22" s="96"/>
      <c r="E22" s="94"/>
    </row>
    <row r="23" spans="1:5" x14ac:dyDescent="0.25">
      <c r="A23" s="92"/>
      <c r="B23" s="105">
        <f t="shared" si="0"/>
        <v>0</v>
      </c>
      <c r="C23" s="7"/>
      <c r="D23" s="96"/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heet="1" objects="1" scenarios="1"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2023-05-02T13:27:56Z</cp:lastPrinted>
  <dcterms:created xsi:type="dcterms:W3CDTF">2015-01-22T08:10:30Z</dcterms:created>
  <dcterms:modified xsi:type="dcterms:W3CDTF">2023-05-03T10:03:52Z</dcterms:modified>
</cp:coreProperties>
</file>